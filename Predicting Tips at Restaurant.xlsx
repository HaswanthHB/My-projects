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e5968\Desktop\Confidential\My Desk\Learning\Fortray\Practice\Project\"/>
    </mc:Choice>
  </mc:AlternateContent>
  <xr:revisionPtr revIDLastSave="0" documentId="13_ncr:1_{6D1F7907-CC12-46C8-8312-77F12D45F044}" xr6:coauthVersionLast="47" xr6:coauthVersionMax="47" xr10:uidLastSave="{00000000-0000-0000-0000-000000000000}"/>
  <bookViews>
    <workbookView xWindow="-110" yWindow="-110" windowWidth="19420" windowHeight="10300" xr2:uid="{E39F1B53-3127-4D6C-88BD-079CCE5E8692}"/>
  </bookViews>
  <sheets>
    <sheet name="Raw Data" sheetId="1" r:id="rId1"/>
    <sheet name="Cleaned data" sheetId="2" r:id="rId2"/>
    <sheet name="Encoded Data" sheetId="3" r:id="rId3"/>
    <sheet name="Regression Result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3" l="1"/>
  <c r="O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L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M239" i="3" l="1"/>
  <c r="N239" i="3" s="1"/>
  <c r="M230" i="3"/>
  <c r="N230" i="3" s="1"/>
  <c r="M206" i="3"/>
  <c r="N206" i="3" s="1"/>
  <c r="M182" i="3"/>
  <c r="N182" i="3" s="1"/>
  <c r="M150" i="3"/>
  <c r="N150" i="3" s="1"/>
  <c r="M126" i="3"/>
  <c r="N126" i="3" s="1"/>
  <c r="M102" i="3"/>
  <c r="N102" i="3" s="1"/>
  <c r="M70" i="3"/>
  <c r="N70" i="3" s="1"/>
  <c r="M38" i="3"/>
  <c r="N38" i="3" s="1"/>
  <c r="M222" i="3"/>
  <c r="N222" i="3" s="1"/>
  <c r="M198" i="3"/>
  <c r="N198" i="3" s="1"/>
  <c r="M174" i="3"/>
  <c r="N174" i="3" s="1"/>
  <c r="M158" i="3"/>
  <c r="N158" i="3" s="1"/>
  <c r="M134" i="3"/>
  <c r="N134" i="3" s="1"/>
  <c r="M110" i="3"/>
  <c r="N110" i="3" s="1"/>
  <c r="M86" i="3"/>
  <c r="N86" i="3" s="1"/>
  <c r="M46" i="3"/>
  <c r="N46" i="3" s="1"/>
  <c r="M231" i="3"/>
  <c r="N231" i="3" s="1"/>
  <c r="M223" i="3"/>
  <c r="N223" i="3" s="1"/>
  <c r="M215" i="3"/>
  <c r="N215" i="3" s="1"/>
  <c r="M207" i="3"/>
  <c r="N207" i="3" s="1"/>
  <c r="M199" i="3"/>
  <c r="N199" i="3" s="1"/>
  <c r="M191" i="3"/>
  <c r="N191" i="3" s="1"/>
  <c r="M238" i="3"/>
  <c r="N238" i="3" s="1"/>
  <c r="M214" i="3"/>
  <c r="N214" i="3" s="1"/>
  <c r="M190" i="3"/>
  <c r="N190" i="3" s="1"/>
  <c r="M166" i="3"/>
  <c r="N166" i="3" s="1"/>
  <c r="M142" i="3"/>
  <c r="N142" i="3" s="1"/>
  <c r="M118" i="3"/>
  <c r="N118" i="3" s="1"/>
  <c r="M94" i="3"/>
  <c r="N94" i="3" s="1"/>
  <c r="M78" i="3"/>
  <c r="N78" i="3" s="1"/>
  <c r="M62" i="3"/>
  <c r="N62" i="3" s="1"/>
  <c r="M54" i="3"/>
  <c r="N54" i="3" s="1"/>
  <c r="M30" i="3"/>
  <c r="N30" i="3" s="1"/>
  <c r="M22" i="3"/>
  <c r="N22" i="3" s="1"/>
  <c r="M14" i="3"/>
  <c r="N14" i="3" s="1"/>
  <c r="M6" i="3"/>
  <c r="N6" i="3" s="1"/>
  <c r="M183" i="3"/>
  <c r="N183" i="3" s="1"/>
  <c r="M175" i="3"/>
  <c r="N175" i="3" s="1"/>
  <c r="M167" i="3"/>
  <c r="N167" i="3" s="1"/>
  <c r="M159" i="3"/>
  <c r="N159" i="3" s="1"/>
  <c r="M151" i="3"/>
  <c r="N151" i="3" s="1"/>
  <c r="M143" i="3"/>
  <c r="N143" i="3" s="1"/>
  <c r="M135" i="3"/>
  <c r="N135" i="3" s="1"/>
  <c r="M127" i="3"/>
  <c r="N127" i="3" s="1"/>
  <c r="M119" i="3"/>
  <c r="N119" i="3" s="1"/>
  <c r="M111" i="3"/>
  <c r="N111" i="3" s="1"/>
  <c r="M103" i="3"/>
  <c r="N103" i="3" s="1"/>
  <c r="M95" i="3"/>
  <c r="N95" i="3" s="1"/>
  <c r="M87" i="3"/>
  <c r="N87" i="3" s="1"/>
  <c r="M79" i="3"/>
  <c r="N79" i="3" s="1"/>
  <c r="M71" i="3"/>
  <c r="N71" i="3" s="1"/>
  <c r="M63" i="3"/>
  <c r="N63" i="3" s="1"/>
  <c r="M55" i="3"/>
  <c r="N55" i="3" s="1"/>
  <c r="M47" i="3"/>
  <c r="N47" i="3" s="1"/>
  <c r="M39" i="3"/>
  <c r="N39" i="3" s="1"/>
  <c r="M31" i="3"/>
  <c r="N31" i="3" s="1"/>
  <c r="M23" i="3"/>
  <c r="N23" i="3" s="1"/>
  <c r="M15" i="3"/>
  <c r="N15" i="3" s="1"/>
  <c r="M7" i="3"/>
  <c r="N7" i="3" s="1"/>
  <c r="M237" i="3"/>
  <c r="N237" i="3" s="1"/>
  <c r="M205" i="3"/>
  <c r="N205" i="3" s="1"/>
  <c r="M173" i="3"/>
  <c r="N173" i="3" s="1"/>
  <c r="M133" i="3"/>
  <c r="N133" i="3" s="1"/>
  <c r="M101" i="3"/>
  <c r="N101" i="3" s="1"/>
  <c r="M69" i="3"/>
  <c r="N69" i="3" s="1"/>
  <c r="M45" i="3"/>
  <c r="N45" i="3" s="1"/>
  <c r="M13" i="3"/>
  <c r="N13" i="3" s="1"/>
  <c r="M228" i="3"/>
  <c r="N228" i="3" s="1"/>
  <c r="M196" i="3"/>
  <c r="N196" i="3" s="1"/>
  <c r="M172" i="3"/>
  <c r="N172" i="3" s="1"/>
  <c r="M140" i="3"/>
  <c r="N140" i="3" s="1"/>
  <c r="M108" i="3"/>
  <c r="N108" i="3" s="1"/>
  <c r="M68" i="3"/>
  <c r="N68" i="3" s="1"/>
  <c r="M36" i="3"/>
  <c r="N36" i="3" s="1"/>
  <c r="M28" i="3"/>
  <c r="N28" i="3" s="1"/>
  <c r="M211" i="3"/>
  <c r="N211" i="3" s="1"/>
  <c r="M203" i="3"/>
  <c r="N203" i="3" s="1"/>
  <c r="M195" i="3"/>
  <c r="N195" i="3" s="1"/>
  <c r="M187" i="3"/>
  <c r="N187" i="3" s="1"/>
  <c r="M179" i="3"/>
  <c r="N179" i="3" s="1"/>
  <c r="M171" i="3"/>
  <c r="N171" i="3" s="1"/>
  <c r="M163" i="3"/>
  <c r="N163" i="3" s="1"/>
  <c r="M155" i="3"/>
  <c r="N155" i="3" s="1"/>
  <c r="M147" i="3"/>
  <c r="N147" i="3" s="1"/>
  <c r="M139" i="3"/>
  <c r="N139" i="3" s="1"/>
  <c r="M131" i="3"/>
  <c r="N131" i="3" s="1"/>
  <c r="M123" i="3"/>
  <c r="N123" i="3" s="1"/>
  <c r="M115" i="3"/>
  <c r="N115" i="3" s="1"/>
  <c r="M107" i="3"/>
  <c r="N107" i="3" s="1"/>
  <c r="M99" i="3"/>
  <c r="N99" i="3" s="1"/>
  <c r="M91" i="3"/>
  <c r="N91" i="3" s="1"/>
  <c r="M83" i="3"/>
  <c r="N83" i="3" s="1"/>
  <c r="M75" i="3"/>
  <c r="N75" i="3" s="1"/>
  <c r="M67" i="3"/>
  <c r="N67" i="3" s="1"/>
  <c r="M59" i="3"/>
  <c r="N59" i="3" s="1"/>
  <c r="M51" i="3"/>
  <c r="N51" i="3" s="1"/>
  <c r="M43" i="3"/>
  <c r="N43" i="3" s="1"/>
  <c r="M35" i="3"/>
  <c r="N35" i="3" s="1"/>
  <c r="M27" i="3"/>
  <c r="N27" i="3" s="1"/>
  <c r="M19" i="3"/>
  <c r="N19" i="3" s="1"/>
  <c r="M11" i="3"/>
  <c r="N11" i="3" s="1"/>
  <c r="M3" i="3"/>
  <c r="N3" i="3" s="1"/>
  <c r="M213" i="3"/>
  <c r="N213" i="3" s="1"/>
  <c r="M181" i="3"/>
  <c r="N181" i="3" s="1"/>
  <c r="M149" i="3"/>
  <c r="N149" i="3" s="1"/>
  <c r="M117" i="3"/>
  <c r="N117" i="3" s="1"/>
  <c r="M77" i="3"/>
  <c r="N77" i="3" s="1"/>
  <c r="M37" i="3"/>
  <c r="N37" i="3" s="1"/>
  <c r="M5" i="3"/>
  <c r="N5" i="3" s="1"/>
  <c r="M220" i="3"/>
  <c r="N220" i="3" s="1"/>
  <c r="M180" i="3"/>
  <c r="N180" i="3" s="1"/>
  <c r="M156" i="3"/>
  <c r="N156" i="3" s="1"/>
  <c r="M116" i="3"/>
  <c r="N116" i="3" s="1"/>
  <c r="M84" i="3"/>
  <c r="N84" i="3" s="1"/>
  <c r="M52" i="3"/>
  <c r="N52" i="3" s="1"/>
  <c r="M12" i="3"/>
  <c r="N12" i="3" s="1"/>
  <c r="M210" i="3"/>
  <c r="N210" i="3" s="1"/>
  <c r="M202" i="3"/>
  <c r="N202" i="3" s="1"/>
  <c r="M194" i="3"/>
  <c r="N194" i="3" s="1"/>
  <c r="M186" i="3"/>
  <c r="N186" i="3" s="1"/>
  <c r="M178" i="3"/>
  <c r="N178" i="3" s="1"/>
  <c r="M170" i="3"/>
  <c r="N170" i="3" s="1"/>
  <c r="M162" i="3"/>
  <c r="N162" i="3" s="1"/>
  <c r="M154" i="3"/>
  <c r="N154" i="3" s="1"/>
  <c r="M146" i="3"/>
  <c r="N146" i="3" s="1"/>
  <c r="M138" i="3"/>
  <c r="N138" i="3" s="1"/>
  <c r="M130" i="3"/>
  <c r="N130" i="3" s="1"/>
  <c r="M122" i="3"/>
  <c r="N122" i="3" s="1"/>
  <c r="M114" i="3"/>
  <c r="N114" i="3" s="1"/>
  <c r="M106" i="3"/>
  <c r="N106" i="3" s="1"/>
  <c r="M98" i="3"/>
  <c r="N98" i="3" s="1"/>
  <c r="M90" i="3"/>
  <c r="N90" i="3" s="1"/>
  <c r="M82" i="3"/>
  <c r="N82" i="3" s="1"/>
  <c r="M74" i="3"/>
  <c r="N74" i="3" s="1"/>
  <c r="M66" i="3"/>
  <c r="N66" i="3" s="1"/>
  <c r="M58" i="3"/>
  <c r="N58" i="3" s="1"/>
  <c r="M50" i="3"/>
  <c r="N50" i="3" s="1"/>
  <c r="M42" i="3"/>
  <c r="N42" i="3" s="1"/>
  <c r="M34" i="3"/>
  <c r="N34" i="3" s="1"/>
  <c r="M26" i="3"/>
  <c r="N26" i="3" s="1"/>
  <c r="M18" i="3"/>
  <c r="N18" i="3" s="1"/>
  <c r="M10" i="3"/>
  <c r="N10" i="3" s="1"/>
  <c r="M2" i="3"/>
  <c r="M221" i="3"/>
  <c r="N221" i="3" s="1"/>
  <c r="M189" i="3"/>
  <c r="N189" i="3" s="1"/>
  <c r="M157" i="3"/>
  <c r="N157" i="3" s="1"/>
  <c r="M125" i="3"/>
  <c r="N125" i="3" s="1"/>
  <c r="M93" i="3"/>
  <c r="N93" i="3" s="1"/>
  <c r="M61" i="3"/>
  <c r="N61" i="3" s="1"/>
  <c r="M29" i="3"/>
  <c r="N29" i="3" s="1"/>
  <c r="M244" i="3"/>
  <c r="N244" i="3" s="1"/>
  <c r="M212" i="3"/>
  <c r="N212" i="3" s="1"/>
  <c r="M188" i="3"/>
  <c r="N188" i="3" s="1"/>
  <c r="M148" i="3"/>
  <c r="N148" i="3" s="1"/>
  <c r="M124" i="3"/>
  <c r="N124" i="3" s="1"/>
  <c r="M92" i="3"/>
  <c r="N92" i="3" s="1"/>
  <c r="M60" i="3"/>
  <c r="N60" i="3" s="1"/>
  <c r="M4" i="3"/>
  <c r="N4" i="3" s="1"/>
  <c r="M243" i="3"/>
  <c r="N243" i="3" s="1"/>
  <c r="M235" i="3"/>
  <c r="N235" i="3" s="1"/>
  <c r="M227" i="3"/>
  <c r="N227" i="3" s="1"/>
  <c r="M219" i="3"/>
  <c r="N219" i="3" s="1"/>
  <c r="M242" i="3"/>
  <c r="N242" i="3" s="1"/>
  <c r="M234" i="3"/>
  <c r="N234" i="3" s="1"/>
  <c r="M226" i="3"/>
  <c r="N226" i="3" s="1"/>
  <c r="M218" i="3"/>
  <c r="N218" i="3" s="1"/>
  <c r="M241" i="3"/>
  <c r="N241" i="3" s="1"/>
  <c r="M233" i="3"/>
  <c r="N233" i="3" s="1"/>
  <c r="M225" i="3"/>
  <c r="N225" i="3" s="1"/>
  <c r="M217" i="3"/>
  <c r="N217" i="3" s="1"/>
  <c r="M209" i="3"/>
  <c r="N209" i="3" s="1"/>
  <c r="M201" i="3"/>
  <c r="N201" i="3" s="1"/>
  <c r="M193" i="3"/>
  <c r="N193" i="3" s="1"/>
  <c r="M185" i="3"/>
  <c r="N185" i="3" s="1"/>
  <c r="M177" i="3"/>
  <c r="N177" i="3" s="1"/>
  <c r="M169" i="3"/>
  <c r="N169" i="3" s="1"/>
  <c r="M161" i="3"/>
  <c r="N161" i="3" s="1"/>
  <c r="M153" i="3"/>
  <c r="N153" i="3" s="1"/>
  <c r="M145" i="3"/>
  <c r="N145" i="3" s="1"/>
  <c r="M137" i="3"/>
  <c r="N137" i="3" s="1"/>
  <c r="M129" i="3"/>
  <c r="N129" i="3" s="1"/>
  <c r="M121" i="3"/>
  <c r="N121" i="3" s="1"/>
  <c r="M113" i="3"/>
  <c r="N113" i="3" s="1"/>
  <c r="M105" i="3"/>
  <c r="N105" i="3" s="1"/>
  <c r="M97" i="3"/>
  <c r="N97" i="3" s="1"/>
  <c r="M89" i="3"/>
  <c r="N89" i="3" s="1"/>
  <c r="M81" i="3"/>
  <c r="N81" i="3" s="1"/>
  <c r="M73" i="3"/>
  <c r="N73" i="3" s="1"/>
  <c r="M65" i="3"/>
  <c r="N65" i="3" s="1"/>
  <c r="M57" i="3"/>
  <c r="N57" i="3" s="1"/>
  <c r="M49" i="3"/>
  <c r="N49" i="3" s="1"/>
  <c r="M41" i="3"/>
  <c r="N41" i="3" s="1"/>
  <c r="M33" i="3"/>
  <c r="N33" i="3" s="1"/>
  <c r="M25" i="3"/>
  <c r="N25" i="3" s="1"/>
  <c r="M17" i="3"/>
  <c r="N17" i="3" s="1"/>
  <c r="M9" i="3"/>
  <c r="N9" i="3" s="1"/>
  <c r="M229" i="3"/>
  <c r="N229" i="3" s="1"/>
  <c r="M197" i="3"/>
  <c r="N197" i="3" s="1"/>
  <c r="M165" i="3"/>
  <c r="N165" i="3" s="1"/>
  <c r="M141" i="3"/>
  <c r="N141" i="3" s="1"/>
  <c r="M109" i="3"/>
  <c r="N109" i="3" s="1"/>
  <c r="M85" i="3"/>
  <c r="N85" i="3" s="1"/>
  <c r="M53" i="3"/>
  <c r="N53" i="3" s="1"/>
  <c r="M21" i="3"/>
  <c r="N21" i="3" s="1"/>
  <c r="M236" i="3"/>
  <c r="N236" i="3" s="1"/>
  <c r="M204" i="3"/>
  <c r="N204" i="3" s="1"/>
  <c r="M164" i="3"/>
  <c r="N164" i="3" s="1"/>
  <c r="M132" i="3"/>
  <c r="N132" i="3" s="1"/>
  <c r="M100" i="3"/>
  <c r="N100" i="3" s="1"/>
  <c r="M76" i="3"/>
  <c r="N76" i="3" s="1"/>
  <c r="M44" i="3"/>
  <c r="N44" i="3" s="1"/>
  <c r="M20" i="3"/>
  <c r="N20" i="3" s="1"/>
  <c r="M240" i="3"/>
  <c r="N240" i="3" s="1"/>
  <c r="M232" i="3"/>
  <c r="N232" i="3" s="1"/>
  <c r="M224" i="3"/>
  <c r="N224" i="3" s="1"/>
  <c r="M216" i="3"/>
  <c r="N216" i="3" s="1"/>
  <c r="M208" i="3"/>
  <c r="N208" i="3" s="1"/>
  <c r="M200" i="3"/>
  <c r="N200" i="3" s="1"/>
  <c r="M192" i="3"/>
  <c r="N192" i="3" s="1"/>
  <c r="M184" i="3"/>
  <c r="N184" i="3" s="1"/>
  <c r="M176" i="3"/>
  <c r="N176" i="3" s="1"/>
  <c r="M168" i="3"/>
  <c r="N168" i="3" s="1"/>
  <c r="M160" i="3"/>
  <c r="N160" i="3" s="1"/>
  <c r="M152" i="3"/>
  <c r="N152" i="3" s="1"/>
  <c r="M144" i="3"/>
  <c r="N144" i="3" s="1"/>
  <c r="M136" i="3"/>
  <c r="N136" i="3" s="1"/>
  <c r="M128" i="3"/>
  <c r="N128" i="3" s="1"/>
  <c r="M120" i="3"/>
  <c r="N120" i="3" s="1"/>
  <c r="M112" i="3"/>
  <c r="N112" i="3" s="1"/>
  <c r="M104" i="3"/>
  <c r="N104" i="3" s="1"/>
  <c r="M96" i="3"/>
  <c r="N96" i="3" s="1"/>
  <c r="M88" i="3"/>
  <c r="N88" i="3" s="1"/>
  <c r="M80" i="3"/>
  <c r="N80" i="3" s="1"/>
  <c r="M72" i="3"/>
  <c r="N72" i="3" s="1"/>
  <c r="M64" i="3"/>
  <c r="N64" i="3" s="1"/>
  <c r="M56" i="3"/>
  <c r="N56" i="3" s="1"/>
  <c r="M48" i="3"/>
  <c r="N48" i="3" s="1"/>
  <c r="M40" i="3"/>
  <c r="N40" i="3" s="1"/>
  <c r="M32" i="3"/>
  <c r="N32" i="3" s="1"/>
  <c r="M24" i="3"/>
  <c r="N24" i="3" s="1"/>
  <c r="M16" i="3"/>
  <c r="N16" i="3" s="1"/>
  <c r="M8" i="3"/>
  <c r="N8" i="3" s="1"/>
  <c r="N2" i="3" l="1"/>
</calcChain>
</file>

<file path=xl/sharedStrings.xml><?xml version="1.0" encoding="utf-8"?>
<sst xmlns="http://schemas.openxmlformats.org/spreadsheetml/2006/main" count="3028" uniqueCount="63">
  <si>
    <t>sex</t>
  </si>
  <si>
    <t>smoker</t>
  </si>
  <si>
    <t>day</t>
  </si>
  <si>
    <t>time</t>
  </si>
  <si>
    <t>size</t>
  </si>
  <si>
    <t>total_bill</t>
  </si>
  <si>
    <t>tip</t>
  </si>
  <si>
    <t>Female</t>
  </si>
  <si>
    <t>No</t>
  </si>
  <si>
    <t>Sun</t>
  </si>
  <si>
    <t>Dinner</t>
  </si>
  <si>
    <t>Male</t>
  </si>
  <si>
    <t xml:space="preserve">sex </t>
  </si>
  <si>
    <t>Gender of the customer</t>
  </si>
  <si>
    <t>Indicates if the customer is a smoker or not</t>
  </si>
  <si>
    <t>Day of the restaurant visit</t>
  </si>
  <si>
    <t>Indicates whether the tip was for lunch or dinner</t>
  </si>
  <si>
    <t>Number of members dining</t>
  </si>
  <si>
    <t>total bill</t>
  </si>
  <si>
    <t>Bill amount in USD</t>
  </si>
  <si>
    <t>Tip amount in USD</t>
  </si>
  <si>
    <t>Sat</t>
  </si>
  <si>
    <t>Yes</t>
  </si>
  <si>
    <t>Thur</t>
  </si>
  <si>
    <t>Lunch</t>
  </si>
  <si>
    <t>Fri</t>
  </si>
  <si>
    <t>sex_encoded</t>
  </si>
  <si>
    <t>smoker_encoded</t>
  </si>
  <si>
    <t>fri_encoded</t>
  </si>
  <si>
    <t>Sat_encoded</t>
  </si>
  <si>
    <t>Sun_encoded</t>
  </si>
  <si>
    <t>predicted Tip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</si>
  <si>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</si>
  <si>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</si>
  <si>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</si>
  <si>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</si>
  <si>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</si>
  <si>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</si>
  <si>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</si>
  <si>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</si>
  <si>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</si>
  <si>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</si>
  <si>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</si>
  <si>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</si>
  <si>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</si>
  <si>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</si>
  <si>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</si>
  <si>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</si>
  <si>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</si>
  <si>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</si>
  <si>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</si>
  <si>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</si>
  <si>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</si>
  <si>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</si>
  <si>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</si>
  <si>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</si>
  <si>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</si>
  <si>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</si>
  <si>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tip</t>
  </si>
  <si>
    <t>Residuals</t>
  </si>
  <si>
    <t>error</t>
  </si>
  <si>
    <t>squared error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</si>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</sst>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Continuous"/>
    </xf>
    <xf numFmtId="0" fontId="0" fillId="0" borderId="0" xfId="0" applyFill="1"/>
    <xf numFmtId="0" fontId="0" fillId="0" borderId="0" xfId="0" applyNumberFormat="1" applyFill="1"/>
    <xf numFmtId="0" fontId="0" fillId="0" borderId="0" xfId="0" applyNumberFormat="1"/>
    <xf numFmtId="0" fontId="0" fillId="2" borderId="0" xfId="0" applyFill="1"/>
    <xf numFmtId="0" fontId="2" fillId="3" borderId="0" xfId="0" applyNumberFormat="1" applyFont="1" applyFill="1"/>
  </cellXfs>
  <cellStyles count="1">
    <cellStyle name="Normal" xfId="0" builtinId="0"/>
  </cellStyles>
  <dxfs count="9">
    <dxf>
      <numFmt numFmtId="0" formatCode="General"/>
      <fill>
        <patternFill patternType="solid">
          <fgColor indexed="64"/>
          <bgColor theme="9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E4D72C-BC41-4406-9115-D76AB7F6D391}" name="cleaned_tbl" displayName="cleaned_tbl" ref="A1:G244" totalsRowShown="0">
  <autoFilter ref="A1:G244" xr:uid="{1CE4D72C-BC41-4406-9115-D76AB7F6D391}"/>
  <tableColumns count="7">
    <tableColumn id="1" xr3:uid="{69F77E84-38A3-41E4-B62A-71B4DD9204A7}" name="sex"/>
    <tableColumn id="2" xr3:uid="{C589AAF0-59CC-44A3-8BDF-725895BB5ECA}" name="smoker"/>
    <tableColumn id="3" xr3:uid="{5E3F6FEC-CDEF-4676-A288-9A63A9FA9993}" name="day"/>
    <tableColumn id="4" xr3:uid="{DA74310A-4D5F-4E0A-9A6C-D0B799CADA30}" name="time"/>
    <tableColumn id="5" xr3:uid="{B1AABDF6-547C-4B68-AD5C-90C566ADBD84}" name="size"/>
    <tableColumn id="6" xr3:uid="{BB068559-6C34-42CF-91AD-2F173B9BA182}" name="total_bill"/>
    <tableColumn id="7" xr3:uid="{1D754EE5-3C51-4BDC-BE88-060ACE24A2F1}" name="tip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974787-0698-4D8F-AF9A-307BAD26A54D}" name="Encode_tbl" displayName="Encode_tbl" ref="A1:P244" totalsRowShown="0">
  <autoFilter ref="A1:P244" xr:uid="{7A974787-0698-4D8F-AF9A-307BAD26A54D}"/>
  <tableColumns count="16">
    <tableColumn id="1" xr3:uid="{9268521E-F35C-47F3-B74D-160C9BA3122E}" name="sex"/>
    <tableColumn id="2" xr3:uid="{8AD622B5-436B-4DC0-BAD6-F0F828C2398B}" name="smoker"/>
    <tableColumn id="3" xr3:uid="{E310FA41-B966-4094-B3A9-BC0D820DB9DC}" name="day"/>
    <tableColumn id="4" xr3:uid="{D96EB802-C657-4625-A5A0-5AAF9D8BF4C4}" name="time"/>
    <tableColumn id="7" xr3:uid="{FFBF6F78-E8DA-4A2C-8979-37D0EEFDB81E}" name="tip"/>
    <tableColumn id="5" xr3:uid="{F776D3CE-FD52-46E1-A732-B2CFD9A4FAC1}" name="size"/>
    <tableColumn id="6" xr3:uid="{DE8366E6-897A-475F-AC57-82CB24718798}" name="total_bill"/>
    <tableColumn id="8" xr3:uid="{052D834A-4355-4069-B523-D94C1F152EF7}" name="sex_encoded" dataDxfId="8">
      <calculatedColumnFormula>IF(Encode_tbl[[#This Row],[sex]]="Male",1,0)</calculatedColumnFormula>
    </tableColumn>
    <tableColumn id="9" xr3:uid="{84DC8980-08EF-416B-9EA4-FD89439F22A4}" name="smoker_encoded" dataDxfId="7">
      <calculatedColumnFormula>IF(Encode_tbl[[#This Row],[smoker]]="Yes",1,0)</calculatedColumnFormula>
    </tableColumn>
    <tableColumn id="11" xr3:uid="{1DF6A349-C3F7-4B03-9E93-B099A3AB673D}" name="fri_encoded" dataDxfId="6">
      <calculatedColumnFormula>IF(Encode_tbl[[#This Row],[day]]="Fri",1,0)</calculatedColumnFormula>
    </tableColumn>
    <tableColumn id="12" xr3:uid="{1DA5FE45-28F3-4E9C-B087-152C4A63A850}" name="Sat_encoded" dataDxfId="5">
      <calculatedColumnFormula>IF(Encode_tbl[[#This Row],[day]]="Sat",1,0)</calculatedColumnFormula>
    </tableColumn>
    <tableColumn id="13" xr3:uid="{02CAD0DB-1B65-412C-B876-79C430398476}" name="Sun_encoded" dataDxfId="2">
      <calculatedColumnFormula>IF(Encode_tbl[[#This Row],[day]]="Sun",1,0)</calculatedColumnFormula>
    </tableColumn>
    <tableColumn id="14" xr3:uid="{78201B34-B8C1-49DD-87CE-1DF9BC754311}" name="predicted Tip" dataDxfId="0">
      <calculatedColumnFormula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calculatedColumnFormula>
    </tableColumn>
    <tableColumn id="10" xr3:uid="{49B900D5-4319-4877-8D5D-579E8F0DBA34}" name="error" dataDxfId="1">
      <calculatedColumnFormula>Encode_tbl[[#This Row],[tip]]-Encode_tbl[[#This Row],[predicted Tip]]</calculatedColumnFormula>
    </tableColumn>
    <tableColumn id="15" xr3:uid="{66850759-AA26-4CB3-AF15-5A0790E07B8D}" name="squared error" dataDxfId="4">
      <calculatedColumnFormula>Encode_tbl[[#This Row],[error]]^2</calculatedColumnFormula>
    </tableColumn>
    <tableColumn id="16" xr3:uid="{FC4DFD9A-EEDC-4E6A-AE1F-B80DE9B935C6}" name="RMSE" dataDxfId="3">
      <calculatedColumnFormula>SQRT(AVERAGE(Encode_tbl[squared error]))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7EB0B-904D-4A32-AC49-EEE4C902527F}">
  <dimension ref="A1:K245"/>
  <sheetViews>
    <sheetView tabSelected="1" workbookViewId="0">
      <selection activeCell="B11" sqref="B11"/>
    </sheetView>
  </sheetViews>
  <sheetFormatPr defaultColWidth="13.453125" defaultRowHeight="14.5" x14ac:dyDescent="0.35"/>
  <cols>
    <col min="11" max="11" width="46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1" x14ac:dyDescent="0.35">
      <c r="A2" t="s">
        <v>7</v>
      </c>
      <c r="B2" t="s">
        <v>8</v>
      </c>
      <c r="C2" t="s">
        <v>9</v>
      </c>
      <c r="D2" t="s">
        <v>10</v>
      </c>
      <c r="E2">
        <v>2</v>
      </c>
      <c r="F2">
        <v>16.989999999999998</v>
      </c>
      <c r="G2">
        <v>1.01</v>
      </c>
    </row>
    <row r="3" spans="1:11" x14ac:dyDescent="0.35">
      <c r="A3" t="s">
        <v>11</v>
      </c>
      <c r="B3" t="s">
        <v>8</v>
      </c>
      <c r="C3" t="s">
        <v>9</v>
      </c>
      <c r="D3" t="s">
        <v>10</v>
      </c>
      <c r="E3">
        <v>3</v>
      </c>
      <c r="F3">
        <v>10.34</v>
      </c>
      <c r="G3">
        <v>1.66</v>
      </c>
      <c r="J3" s="1" t="s">
        <v>12</v>
      </c>
      <c r="K3" s="1" t="s">
        <v>13</v>
      </c>
    </row>
    <row r="4" spans="1:11" x14ac:dyDescent="0.35">
      <c r="A4" t="s">
        <v>11</v>
      </c>
      <c r="B4" t="s">
        <v>8</v>
      </c>
      <c r="C4" t="s">
        <v>9</v>
      </c>
      <c r="D4" t="s">
        <v>10</v>
      </c>
      <c r="E4">
        <v>3</v>
      </c>
      <c r="F4">
        <v>21.01</v>
      </c>
      <c r="G4">
        <v>3.5</v>
      </c>
      <c r="J4" s="1" t="s">
        <v>1</v>
      </c>
      <c r="K4" s="1" t="s">
        <v>14</v>
      </c>
    </row>
    <row r="5" spans="1:11" x14ac:dyDescent="0.35">
      <c r="A5" t="s">
        <v>11</v>
      </c>
      <c r="B5" t="s">
        <v>8</v>
      </c>
      <c r="C5" t="s">
        <v>9</v>
      </c>
      <c r="D5" t="s">
        <v>10</v>
      </c>
      <c r="E5">
        <v>2</v>
      </c>
      <c r="F5">
        <v>23.68</v>
      </c>
      <c r="G5">
        <v>3.31</v>
      </c>
      <c r="J5" s="1" t="s">
        <v>2</v>
      </c>
      <c r="K5" s="1" t="s">
        <v>15</v>
      </c>
    </row>
    <row r="6" spans="1:11" x14ac:dyDescent="0.35">
      <c r="A6" t="s">
        <v>7</v>
      </c>
      <c r="B6" t="s">
        <v>8</v>
      </c>
      <c r="C6" t="s">
        <v>9</v>
      </c>
      <c r="D6" t="s">
        <v>10</v>
      </c>
      <c r="E6">
        <v>4</v>
      </c>
      <c r="F6">
        <v>24.59</v>
      </c>
      <c r="G6">
        <v>3.61</v>
      </c>
      <c r="J6" s="1" t="s">
        <v>3</v>
      </c>
      <c r="K6" s="1" t="s">
        <v>16</v>
      </c>
    </row>
    <row r="7" spans="1:11" x14ac:dyDescent="0.35">
      <c r="A7" t="s">
        <v>11</v>
      </c>
      <c r="B7" t="s">
        <v>8</v>
      </c>
      <c r="C7" t="s">
        <v>9</v>
      </c>
      <c r="D7" t="s">
        <v>10</v>
      </c>
      <c r="E7">
        <v>4</v>
      </c>
      <c r="F7">
        <v>25.29</v>
      </c>
      <c r="G7">
        <v>4.71</v>
      </c>
      <c r="J7" s="1" t="s">
        <v>4</v>
      </c>
      <c r="K7" s="1" t="s">
        <v>17</v>
      </c>
    </row>
    <row r="8" spans="1:11" x14ac:dyDescent="0.35">
      <c r="A8" t="s">
        <v>11</v>
      </c>
      <c r="B8" t="s">
        <v>8</v>
      </c>
      <c r="C8" t="s">
        <v>9</v>
      </c>
      <c r="D8" t="s">
        <v>10</v>
      </c>
      <c r="E8">
        <v>2</v>
      </c>
      <c r="F8">
        <v>8.77</v>
      </c>
      <c r="G8">
        <v>2</v>
      </c>
      <c r="J8" s="1" t="s">
        <v>18</v>
      </c>
      <c r="K8" s="1" t="s">
        <v>19</v>
      </c>
    </row>
    <row r="9" spans="1:11" x14ac:dyDescent="0.35">
      <c r="A9" t="s">
        <v>11</v>
      </c>
      <c r="B9" t="s">
        <v>8</v>
      </c>
      <c r="C9" t="s">
        <v>9</v>
      </c>
      <c r="D9" t="s">
        <v>10</v>
      </c>
      <c r="E9">
        <v>4</v>
      </c>
      <c r="F9">
        <v>26.88</v>
      </c>
      <c r="G9">
        <v>3.12</v>
      </c>
      <c r="J9" s="1" t="s">
        <v>6</v>
      </c>
      <c r="K9" s="1" t="s">
        <v>20</v>
      </c>
    </row>
    <row r="10" spans="1:11" x14ac:dyDescent="0.35">
      <c r="A10" t="s">
        <v>11</v>
      </c>
      <c r="B10" t="s">
        <v>8</v>
      </c>
      <c r="C10" t="s">
        <v>9</v>
      </c>
      <c r="D10" t="s">
        <v>10</v>
      </c>
      <c r="E10">
        <v>2</v>
      </c>
      <c r="F10">
        <v>15.04</v>
      </c>
      <c r="G10">
        <v>1.96</v>
      </c>
    </row>
    <row r="11" spans="1:11" x14ac:dyDescent="0.35">
      <c r="A11" t="s">
        <v>11</v>
      </c>
      <c r="B11" t="s">
        <v>8</v>
      </c>
      <c r="C11" t="s">
        <v>9</v>
      </c>
      <c r="D11" t="s">
        <v>10</v>
      </c>
      <c r="E11">
        <v>2</v>
      </c>
      <c r="F11">
        <v>14.78</v>
      </c>
      <c r="G11">
        <v>3.23</v>
      </c>
    </row>
    <row r="12" spans="1:11" x14ac:dyDescent="0.35">
      <c r="A12" t="s">
        <v>11</v>
      </c>
      <c r="B12" t="s">
        <v>8</v>
      </c>
      <c r="C12" t="s">
        <v>9</v>
      </c>
      <c r="D12" t="s">
        <v>10</v>
      </c>
      <c r="E12">
        <v>2</v>
      </c>
      <c r="F12">
        <v>10.27</v>
      </c>
      <c r="G12">
        <v>1.71</v>
      </c>
    </row>
    <row r="13" spans="1:11" x14ac:dyDescent="0.35">
      <c r="A13" t="s">
        <v>7</v>
      </c>
      <c r="B13" t="s">
        <v>8</v>
      </c>
      <c r="C13" t="s">
        <v>9</v>
      </c>
      <c r="D13" t="s">
        <v>10</v>
      </c>
      <c r="E13">
        <v>4</v>
      </c>
      <c r="F13">
        <v>35.26</v>
      </c>
      <c r="G13">
        <v>5</v>
      </c>
    </row>
    <row r="14" spans="1:11" x14ac:dyDescent="0.35">
      <c r="A14" t="s">
        <v>11</v>
      </c>
      <c r="B14" t="s">
        <v>8</v>
      </c>
      <c r="C14" t="s">
        <v>9</v>
      </c>
      <c r="D14" t="s">
        <v>10</v>
      </c>
      <c r="E14">
        <v>2</v>
      </c>
      <c r="F14">
        <v>15.42</v>
      </c>
      <c r="G14">
        <v>1.57</v>
      </c>
    </row>
    <row r="15" spans="1:11" x14ac:dyDescent="0.35">
      <c r="A15" t="s">
        <v>11</v>
      </c>
      <c r="B15" t="s">
        <v>8</v>
      </c>
      <c r="C15" t="s">
        <v>9</v>
      </c>
      <c r="D15" t="s">
        <v>10</v>
      </c>
      <c r="E15">
        <v>4</v>
      </c>
      <c r="F15">
        <v>18.43</v>
      </c>
      <c r="G15">
        <v>3</v>
      </c>
    </row>
    <row r="16" spans="1:11" x14ac:dyDescent="0.35">
      <c r="A16" t="s">
        <v>7</v>
      </c>
      <c r="B16" t="s">
        <v>8</v>
      </c>
      <c r="C16" t="s">
        <v>9</v>
      </c>
      <c r="D16" t="s">
        <v>10</v>
      </c>
      <c r="E16">
        <v>2</v>
      </c>
      <c r="F16">
        <v>14.83</v>
      </c>
      <c r="G16">
        <v>3.02</v>
      </c>
    </row>
    <row r="17" spans="1:7" x14ac:dyDescent="0.35">
      <c r="A17" t="s">
        <v>11</v>
      </c>
      <c r="B17" t="s">
        <v>8</v>
      </c>
      <c r="C17" t="s">
        <v>9</v>
      </c>
      <c r="D17" t="s">
        <v>10</v>
      </c>
      <c r="E17">
        <v>2</v>
      </c>
      <c r="F17">
        <v>21.58</v>
      </c>
      <c r="G17">
        <v>3.92</v>
      </c>
    </row>
    <row r="18" spans="1:7" x14ac:dyDescent="0.35">
      <c r="A18" t="s">
        <v>7</v>
      </c>
      <c r="B18" t="s">
        <v>8</v>
      </c>
      <c r="C18" t="s">
        <v>9</v>
      </c>
      <c r="D18" t="s">
        <v>10</v>
      </c>
      <c r="E18">
        <v>3</v>
      </c>
      <c r="F18">
        <v>10.33</v>
      </c>
      <c r="G18">
        <v>1.67</v>
      </c>
    </row>
    <row r="19" spans="1:7" x14ac:dyDescent="0.35">
      <c r="A19" t="s">
        <v>11</v>
      </c>
      <c r="B19" t="s">
        <v>8</v>
      </c>
      <c r="C19" t="s">
        <v>9</v>
      </c>
      <c r="D19" t="s">
        <v>10</v>
      </c>
      <c r="E19">
        <v>3</v>
      </c>
      <c r="F19">
        <v>16.29</v>
      </c>
      <c r="G19">
        <v>3.71</v>
      </c>
    </row>
    <row r="20" spans="1:7" x14ac:dyDescent="0.35">
      <c r="A20" t="s">
        <v>7</v>
      </c>
      <c r="B20" t="s">
        <v>8</v>
      </c>
      <c r="C20" t="s">
        <v>9</v>
      </c>
      <c r="D20" t="s">
        <v>10</v>
      </c>
      <c r="E20">
        <v>3</v>
      </c>
      <c r="F20">
        <v>16.97</v>
      </c>
      <c r="G20">
        <v>3.5</v>
      </c>
    </row>
    <row r="21" spans="1:7" x14ac:dyDescent="0.35">
      <c r="A21" t="s">
        <v>11</v>
      </c>
      <c r="B21" t="s">
        <v>8</v>
      </c>
      <c r="C21" t="s">
        <v>21</v>
      </c>
      <c r="D21" t="s">
        <v>10</v>
      </c>
      <c r="E21">
        <v>3</v>
      </c>
      <c r="F21">
        <v>20.65</v>
      </c>
      <c r="G21">
        <v>3.35</v>
      </c>
    </row>
    <row r="22" spans="1:7" x14ac:dyDescent="0.35">
      <c r="A22" t="s">
        <v>11</v>
      </c>
      <c r="B22" t="s">
        <v>8</v>
      </c>
      <c r="C22" t="s">
        <v>21</v>
      </c>
      <c r="D22" t="s">
        <v>10</v>
      </c>
      <c r="E22">
        <v>2</v>
      </c>
      <c r="F22">
        <v>17.920000000000002</v>
      </c>
      <c r="G22">
        <v>4.08</v>
      </c>
    </row>
    <row r="23" spans="1:7" x14ac:dyDescent="0.35">
      <c r="A23" t="s">
        <v>7</v>
      </c>
      <c r="B23" t="s">
        <v>8</v>
      </c>
      <c r="C23" t="s">
        <v>21</v>
      </c>
      <c r="D23" t="s">
        <v>10</v>
      </c>
      <c r="E23">
        <v>2</v>
      </c>
      <c r="F23">
        <v>20.29</v>
      </c>
      <c r="G23">
        <v>2.75</v>
      </c>
    </row>
    <row r="24" spans="1:7" x14ac:dyDescent="0.35">
      <c r="A24" t="s">
        <v>7</v>
      </c>
      <c r="B24" t="s">
        <v>8</v>
      </c>
      <c r="C24" t="s">
        <v>21</v>
      </c>
      <c r="D24" t="s">
        <v>10</v>
      </c>
      <c r="E24">
        <v>2</v>
      </c>
      <c r="F24">
        <v>15.77</v>
      </c>
      <c r="G24">
        <v>2.23</v>
      </c>
    </row>
    <row r="25" spans="1:7" x14ac:dyDescent="0.35">
      <c r="A25" t="s">
        <v>11</v>
      </c>
      <c r="B25" t="s">
        <v>8</v>
      </c>
      <c r="C25" t="s">
        <v>21</v>
      </c>
      <c r="D25" t="s">
        <v>10</v>
      </c>
      <c r="E25">
        <v>4</v>
      </c>
      <c r="F25">
        <v>39.42</v>
      </c>
      <c r="G25">
        <v>7.58</v>
      </c>
    </row>
    <row r="26" spans="1:7" x14ac:dyDescent="0.35">
      <c r="A26" t="s">
        <v>11</v>
      </c>
      <c r="B26" t="s">
        <v>8</v>
      </c>
      <c r="C26" t="s">
        <v>21</v>
      </c>
      <c r="D26" t="s">
        <v>10</v>
      </c>
      <c r="E26">
        <v>2</v>
      </c>
      <c r="F26">
        <v>19.82</v>
      </c>
      <c r="G26">
        <v>3.18</v>
      </c>
    </row>
    <row r="27" spans="1:7" x14ac:dyDescent="0.35">
      <c r="A27" t="s">
        <v>11</v>
      </c>
      <c r="B27" t="s">
        <v>8</v>
      </c>
      <c r="C27" t="s">
        <v>21</v>
      </c>
      <c r="D27" t="s">
        <v>10</v>
      </c>
      <c r="E27">
        <v>4</v>
      </c>
      <c r="F27">
        <v>17.809999999999999</v>
      </c>
      <c r="G27">
        <v>2.34</v>
      </c>
    </row>
    <row r="28" spans="1:7" x14ac:dyDescent="0.35">
      <c r="A28" t="s">
        <v>11</v>
      </c>
      <c r="B28" t="s">
        <v>8</v>
      </c>
      <c r="C28" t="s">
        <v>21</v>
      </c>
      <c r="D28" t="s">
        <v>10</v>
      </c>
      <c r="E28">
        <v>2</v>
      </c>
      <c r="F28">
        <v>13.37</v>
      </c>
      <c r="G28">
        <v>2</v>
      </c>
    </row>
    <row r="29" spans="1:7" x14ac:dyDescent="0.35">
      <c r="A29" t="s">
        <v>11</v>
      </c>
      <c r="B29" t="s">
        <v>8</v>
      </c>
      <c r="C29" t="s">
        <v>21</v>
      </c>
      <c r="D29" t="s">
        <v>10</v>
      </c>
      <c r="E29">
        <v>2</v>
      </c>
      <c r="F29">
        <v>12.69</v>
      </c>
      <c r="G29">
        <v>2</v>
      </c>
    </row>
    <row r="30" spans="1:7" x14ac:dyDescent="0.35">
      <c r="A30" t="s">
        <v>11</v>
      </c>
      <c r="B30" t="s">
        <v>8</v>
      </c>
      <c r="C30" t="s">
        <v>21</v>
      </c>
      <c r="D30" t="s">
        <v>10</v>
      </c>
      <c r="E30">
        <v>2</v>
      </c>
      <c r="F30">
        <v>21.7</v>
      </c>
      <c r="G30">
        <v>4.3</v>
      </c>
    </row>
    <row r="31" spans="1:7" x14ac:dyDescent="0.35">
      <c r="A31" t="s">
        <v>7</v>
      </c>
      <c r="B31" t="s">
        <v>8</v>
      </c>
      <c r="C31" t="s">
        <v>21</v>
      </c>
      <c r="D31" t="s">
        <v>10</v>
      </c>
      <c r="E31">
        <v>2</v>
      </c>
      <c r="F31">
        <v>19.649999999999999</v>
      </c>
      <c r="G31">
        <v>3</v>
      </c>
    </row>
    <row r="32" spans="1:7" x14ac:dyDescent="0.35">
      <c r="A32" t="s">
        <v>11</v>
      </c>
      <c r="B32" t="s">
        <v>8</v>
      </c>
      <c r="C32" t="s">
        <v>21</v>
      </c>
      <c r="D32" t="s">
        <v>10</v>
      </c>
      <c r="E32">
        <v>2</v>
      </c>
      <c r="F32">
        <v>9.5500000000000007</v>
      </c>
      <c r="G32">
        <v>1.45</v>
      </c>
    </row>
    <row r="33" spans="1:7" x14ac:dyDescent="0.35">
      <c r="A33" t="s">
        <v>11</v>
      </c>
      <c r="B33" t="s">
        <v>8</v>
      </c>
      <c r="C33" t="s">
        <v>21</v>
      </c>
      <c r="D33" t="s">
        <v>10</v>
      </c>
      <c r="E33">
        <v>4</v>
      </c>
      <c r="F33">
        <v>18.350000000000001</v>
      </c>
      <c r="G33">
        <v>2.5</v>
      </c>
    </row>
    <row r="34" spans="1:7" x14ac:dyDescent="0.35">
      <c r="A34" t="s">
        <v>7</v>
      </c>
      <c r="B34" t="s">
        <v>8</v>
      </c>
      <c r="C34" t="s">
        <v>21</v>
      </c>
      <c r="D34" t="s">
        <v>10</v>
      </c>
      <c r="E34">
        <v>2</v>
      </c>
      <c r="F34">
        <v>15.06</v>
      </c>
      <c r="G34">
        <v>3</v>
      </c>
    </row>
    <row r="35" spans="1:7" x14ac:dyDescent="0.35">
      <c r="A35" t="s">
        <v>7</v>
      </c>
      <c r="B35" t="s">
        <v>8</v>
      </c>
      <c r="C35" t="s">
        <v>21</v>
      </c>
      <c r="D35" t="s">
        <v>10</v>
      </c>
      <c r="E35">
        <v>4</v>
      </c>
      <c r="F35">
        <v>20.69</v>
      </c>
      <c r="G35">
        <v>2.4500000000000002</v>
      </c>
    </row>
    <row r="36" spans="1:7" x14ac:dyDescent="0.35">
      <c r="A36" t="s">
        <v>11</v>
      </c>
      <c r="B36" t="s">
        <v>8</v>
      </c>
      <c r="C36" t="s">
        <v>21</v>
      </c>
      <c r="D36" t="s">
        <v>10</v>
      </c>
      <c r="E36">
        <v>2</v>
      </c>
      <c r="F36">
        <v>17.78</v>
      </c>
      <c r="G36">
        <v>3.27</v>
      </c>
    </row>
    <row r="37" spans="1:7" x14ac:dyDescent="0.35">
      <c r="A37" t="s">
        <v>11</v>
      </c>
      <c r="B37" t="s">
        <v>8</v>
      </c>
      <c r="C37" t="s">
        <v>21</v>
      </c>
      <c r="D37" t="s">
        <v>10</v>
      </c>
      <c r="E37">
        <v>3</v>
      </c>
      <c r="F37">
        <v>24.06</v>
      </c>
      <c r="G37">
        <v>3.6</v>
      </c>
    </row>
    <row r="38" spans="1:7" x14ac:dyDescent="0.35">
      <c r="A38" t="s">
        <v>11</v>
      </c>
      <c r="B38" t="s">
        <v>8</v>
      </c>
      <c r="C38" t="s">
        <v>21</v>
      </c>
      <c r="D38" t="s">
        <v>10</v>
      </c>
      <c r="E38">
        <v>3</v>
      </c>
      <c r="F38">
        <v>16.309999999999999</v>
      </c>
      <c r="G38">
        <v>2</v>
      </c>
    </row>
    <row r="39" spans="1:7" x14ac:dyDescent="0.35">
      <c r="A39" t="s">
        <v>7</v>
      </c>
      <c r="B39" t="s">
        <v>8</v>
      </c>
      <c r="C39" t="s">
        <v>21</v>
      </c>
      <c r="D39" t="s">
        <v>10</v>
      </c>
      <c r="E39">
        <v>3</v>
      </c>
      <c r="F39">
        <v>16.93</v>
      </c>
      <c r="G39">
        <v>3.07</v>
      </c>
    </row>
    <row r="40" spans="1:7" x14ac:dyDescent="0.35">
      <c r="A40" t="s">
        <v>11</v>
      </c>
      <c r="B40" t="s">
        <v>8</v>
      </c>
      <c r="C40" t="s">
        <v>21</v>
      </c>
      <c r="D40" t="s">
        <v>10</v>
      </c>
      <c r="E40">
        <v>3</v>
      </c>
      <c r="F40">
        <v>18.690000000000001</v>
      </c>
      <c r="G40">
        <v>2.31</v>
      </c>
    </row>
    <row r="41" spans="1:7" x14ac:dyDescent="0.35">
      <c r="A41" t="s">
        <v>11</v>
      </c>
      <c r="B41" t="s">
        <v>8</v>
      </c>
      <c r="C41" t="s">
        <v>21</v>
      </c>
      <c r="D41" t="s">
        <v>10</v>
      </c>
      <c r="E41">
        <v>3</v>
      </c>
      <c r="F41">
        <v>31.27</v>
      </c>
      <c r="G41">
        <v>5</v>
      </c>
    </row>
    <row r="42" spans="1:7" x14ac:dyDescent="0.35">
      <c r="A42" t="s">
        <v>11</v>
      </c>
      <c r="B42" t="s">
        <v>8</v>
      </c>
      <c r="C42" t="s">
        <v>21</v>
      </c>
      <c r="D42" t="s">
        <v>10</v>
      </c>
      <c r="E42">
        <v>3</v>
      </c>
      <c r="F42">
        <v>16.04</v>
      </c>
      <c r="G42">
        <v>2.2400000000000002</v>
      </c>
    </row>
    <row r="43" spans="1:7" x14ac:dyDescent="0.35">
      <c r="A43" t="s">
        <v>11</v>
      </c>
      <c r="B43" t="s">
        <v>8</v>
      </c>
      <c r="C43" t="s">
        <v>9</v>
      </c>
      <c r="D43" t="s">
        <v>10</v>
      </c>
      <c r="E43">
        <v>2</v>
      </c>
      <c r="F43">
        <v>17.46</v>
      </c>
      <c r="G43">
        <v>2.54</v>
      </c>
    </row>
    <row r="44" spans="1:7" x14ac:dyDescent="0.35">
      <c r="A44" t="s">
        <v>11</v>
      </c>
      <c r="B44" t="s">
        <v>8</v>
      </c>
      <c r="C44" t="s">
        <v>9</v>
      </c>
      <c r="D44" t="s">
        <v>10</v>
      </c>
      <c r="E44">
        <v>2</v>
      </c>
      <c r="F44">
        <v>13.94</v>
      </c>
      <c r="G44">
        <v>3.06</v>
      </c>
    </row>
    <row r="45" spans="1:7" x14ac:dyDescent="0.35">
      <c r="A45" t="s">
        <v>11</v>
      </c>
      <c r="B45" t="s">
        <v>8</v>
      </c>
      <c r="C45" t="s">
        <v>9</v>
      </c>
      <c r="D45" t="s">
        <v>10</v>
      </c>
      <c r="E45">
        <v>2</v>
      </c>
      <c r="F45">
        <v>9.68</v>
      </c>
      <c r="G45">
        <v>1.32</v>
      </c>
    </row>
    <row r="46" spans="1:7" x14ac:dyDescent="0.35">
      <c r="A46" t="s">
        <v>11</v>
      </c>
      <c r="B46" t="s">
        <v>8</v>
      </c>
      <c r="C46" t="s">
        <v>9</v>
      </c>
      <c r="D46" t="s">
        <v>10</v>
      </c>
      <c r="E46">
        <v>4</v>
      </c>
      <c r="F46">
        <v>30.4</v>
      </c>
      <c r="G46">
        <v>5.6</v>
      </c>
    </row>
    <row r="47" spans="1:7" x14ac:dyDescent="0.35">
      <c r="A47" t="s">
        <v>11</v>
      </c>
      <c r="B47" t="s">
        <v>8</v>
      </c>
      <c r="C47" t="s">
        <v>9</v>
      </c>
      <c r="D47" t="s">
        <v>10</v>
      </c>
      <c r="E47">
        <v>2</v>
      </c>
      <c r="F47">
        <v>18.29</v>
      </c>
      <c r="G47">
        <v>3</v>
      </c>
    </row>
    <row r="48" spans="1:7" x14ac:dyDescent="0.35">
      <c r="A48" t="s">
        <v>11</v>
      </c>
      <c r="B48" t="s">
        <v>8</v>
      </c>
      <c r="C48" t="s">
        <v>9</v>
      </c>
      <c r="D48" t="s">
        <v>10</v>
      </c>
      <c r="E48">
        <v>2</v>
      </c>
      <c r="F48">
        <v>22.23</v>
      </c>
      <c r="G48">
        <v>5</v>
      </c>
    </row>
    <row r="49" spans="1:7" x14ac:dyDescent="0.35">
      <c r="A49" t="s">
        <v>11</v>
      </c>
      <c r="B49" t="s">
        <v>8</v>
      </c>
      <c r="C49" t="s">
        <v>9</v>
      </c>
      <c r="D49" t="s">
        <v>10</v>
      </c>
      <c r="E49">
        <v>4</v>
      </c>
      <c r="F49">
        <v>32.4</v>
      </c>
      <c r="G49">
        <v>6</v>
      </c>
    </row>
    <row r="50" spans="1:7" x14ac:dyDescent="0.35">
      <c r="A50" t="s">
        <v>11</v>
      </c>
      <c r="B50" t="s">
        <v>8</v>
      </c>
      <c r="C50" t="s">
        <v>9</v>
      </c>
      <c r="D50" t="s">
        <v>10</v>
      </c>
      <c r="E50">
        <v>3</v>
      </c>
      <c r="F50">
        <v>28.55</v>
      </c>
      <c r="G50">
        <v>2.0499999999999998</v>
      </c>
    </row>
    <row r="51" spans="1:7" x14ac:dyDescent="0.35">
      <c r="A51" t="s">
        <v>11</v>
      </c>
      <c r="B51" t="s">
        <v>8</v>
      </c>
      <c r="C51" t="s">
        <v>9</v>
      </c>
      <c r="D51" t="s">
        <v>10</v>
      </c>
      <c r="E51">
        <v>2</v>
      </c>
      <c r="F51">
        <v>18.04</v>
      </c>
      <c r="G51">
        <v>3</v>
      </c>
    </row>
    <row r="52" spans="1:7" x14ac:dyDescent="0.35">
      <c r="A52" t="s">
        <v>11</v>
      </c>
      <c r="B52" t="s">
        <v>8</v>
      </c>
      <c r="C52" t="s">
        <v>9</v>
      </c>
      <c r="D52" t="s">
        <v>10</v>
      </c>
      <c r="E52">
        <v>2</v>
      </c>
      <c r="F52">
        <v>12.54</v>
      </c>
      <c r="G52">
        <v>2.5</v>
      </c>
    </row>
    <row r="53" spans="1:7" x14ac:dyDescent="0.35">
      <c r="A53" t="s">
        <v>7</v>
      </c>
      <c r="B53" t="s">
        <v>8</v>
      </c>
      <c r="C53" t="s">
        <v>9</v>
      </c>
      <c r="D53" t="s">
        <v>10</v>
      </c>
      <c r="E53">
        <v>2</v>
      </c>
      <c r="F53">
        <v>10.29</v>
      </c>
      <c r="G53">
        <v>2.6</v>
      </c>
    </row>
    <row r="54" spans="1:7" x14ac:dyDescent="0.35">
      <c r="A54" t="s">
        <v>7</v>
      </c>
      <c r="B54" t="s">
        <v>8</v>
      </c>
      <c r="C54" t="s">
        <v>9</v>
      </c>
      <c r="D54" t="s">
        <v>10</v>
      </c>
      <c r="E54">
        <v>4</v>
      </c>
      <c r="F54">
        <v>34.81</v>
      </c>
      <c r="G54">
        <v>5.2</v>
      </c>
    </row>
    <row r="55" spans="1:7" x14ac:dyDescent="0.35">
      <c r="A55" t="s">
        <v>11</v>
      </c>
      <c r="B55" t="s">
        <v>8</v>
      </c>
      <c r="C55" t="s">
        <v>9</v>
      </c>
      <c r="D55" t="s">
        <v>10</v>
      </c>
      <c r="E55">
        <v>2</v>
      </c>
      <c r="F55">
        <v>9.94</v>
      </c>
      <c r="G55">
        <v>1.56</v>
      </c>
    </row>
    <row r="56" spans="1:7" x14ac:dyDescent="0.35">
      <c r="A56" t="s">
        <v>11</v>
      </c>
      <c r="B56" t="s">
        <v>8</v>
      </c>
      <c r="C56" t="s">
        <v>9</v>
      </c>
      <c r="D56" t="s">
        <v>10</v>
      </c>
      <c r="E56">
        <v>4</v>
      </c>
      <c r="F56">
        <v>25.56</v>
      </c>
      <c r="G56">
        <v>4.34</v>
      </c>
    </row>
    <row r="57" spans="1:7" x14ac:dyDescent="0.35">
      <c r="A57" t="s">
        <v>11</v>
      </c>
      <c r="B57" t="s">
        <v>8</v>
      </c>
      <c r="C57" t="s">
        <v>9</v>
      </c>
      <c r="D57" t="s">
        <v>10</v>
      </c>
      <c r="E57">
        <v>2</v>
      </c>
      <c r="F57">
        <v>19.489999999999998</v>
      </c>
      <c r="G57">
        <v>3.51</v>
      </c>
    </row>
    <row r="58" spans="1:7" x14ac:dyDescent="0.35">
      <c r="A58" t="s">
        <v>11</v>
      </c>
      <c r="B58" t="s">
        <v>22</v>
      </c>
      <c r="C58" t="s">
        <v>21</v>
      </c>
      <c r="D58" t="s">
        <v>10</v>
      </c>
      <c r="E58">
        <v>4</v>
      </c>
      <c r="F58">
        <v>38.01</v>
      </c>
      <c r="G58">
        <v>3</v>
      </c>
    </row>
    <row r="59" spans="1:7" x14ac:dyDescent="0.35">
      <c r="A59" t="s">
        <v>7</v>
      </c>
      <c r="B59" t="s">
        <v>8</v>
      </c>
      <c r="C59" t="s">
        <v>21</v>
      </c>
      <c r="D59" t="s">
        <v>10</v>
      </c>
      <c r="E59">
        <v>2</v>
      </c>
      <c r="F59">
        <v>26.41</v>
      </c>
      <c r="G59">
        <v>1.5</v>
      </c>
    </row>
    <row r="60" spans="1:7" x14ac:dyDescent="0.35">
      <c r="A60" t="s">
        <v>11</v>
      </c>
      <c r="B60" t="s">
        <v>22</v>
      </c>
      <c r="C60" t="s">
        <v>21</v>
      </c>
      <c r="D60" t="s">
        <v>10</v>
      </c>
      <c r="E60">
        <v>2</v>
      </c>
      <c r="F60">
        <v>11.24</v>
      </c>
      <c r="G60">
        <v>1.76</v>
      </c>
    </row>
    <row r="61" spans="1:7" x14ac:dyDescent="0.35">
      <c r="A61" t="s">
        <v>11</v>
      </c>
      <c r="B61" t="s">
        <v>8</v>
      </c>
      <c r="C61" t="s">
        <v>21</v>
      </c>
      <c r="D61" t="s">
        <v>10</v>
      </c>
      <c r="E61">
        <v>4</v>
      </c>
      <c r="F61">
        <v>48.27</v>
      </c>
      <c r="G61">
        <v>6.73</v>
      </c>
    </row>
    <row r="62" spans="1:7" x14ac:dyDescent="0.35">
      <c r="A62" t="s">
        <v>11</v>
      </c>
      <c r="B62" t="s">
        <v>22</v>
      </c>
      <c r="C62" t="s">
        <v>21</v>
      </c>
      <c r="D62" t="s">
        <v>10</v>
      </c>
      <c r="E62">
        <v>2</v>
      </c>
      <c r="F62">
        <v>20.29</v>
      </c>
      <c r="G62">
        <v>3.21</v>
      </c>
    </row>
    <row r="63" spans="1:7" x14ac:dyDescent="0.35">
      <c r="A63" t="s">
        <v>11</v>
      </c>
      <c r="B63" t="s">
        <v>22</v>
      </c>
      <c r="C63" t="s">
        <v>21</v>
      </c>
      <c r="D63" t="s">
        <v>10</v>
      </c>
      <c r="E63">
        <v>2</v>
      </c>
      <c r="F63">
        <v>13.81</v>
      </c>
      <c r="G63">
        <v>2</v>
      </c>
    </row>
    <row r="64" spans="1:7" x14ac:dyDescent="0.35">
      <c r="A64" t="s">
        <v>11</v>
      </c>
      <c r="B64" t="s">
        <v>22</v>
      </c>
      <c r="C64" t="s">
        <v>21</v>
      </c>
      <c r="D64" t="s">
        <v>10</v>
      </c>
      <c r="E64">
        <v>2</v>
      </c>
      <c r="F64">
        <v>11.02</v>
      </c>
      <c r="G64">
        <v>1.98</v>
      </c>
    </row>
    <row r="65" spans="1:7" x14ac:dyDescent="0.35">
      <c r="A65" t="s">
        <v>11</v>
      </c>
      <c r="B65" t="s">
        <v>22</v>
      </c>
      <c r="C65" t="s">
        <v>21</v>
      </c>
      <c r="D65" t="s">
        <v>10</v>
      </c>
      <c r="E65">
        <v>4</v>
      </c>
      <c r="F65">
        <v>18.29</v>
      </c>
      <c r="G65">
        <v>3.76</v>
      </c>
    </row>
    <row r="66" spans="1:7" x14ac:dyDescent="0.35">
      <c r="A66" t="s">
        <v>11</v>
      </c>
      <c r="B66" t="s">
        <v>8</v>
      </c>
      <c r="C66" t="s">
        <v>21</v>
      </c>
      <c r="D66" t="s">
        <v>10</v>
      </c>
      <c r="E66">
        <v>3</v>
      </c>
      <c r="F66">
        <v>17.59</v>
      </c>
      <c r="G66">
        <v>2.64</v>
      </c>
    </row>
    <row r="67" spans="1:7" x14ac:dyDescent="0.35">
      <c r="A67" t="s">
        <v>11</v>
      </c>
      <c r="B67" t="s">
        <v>8</v>
      </c>
      <c r="C67" t="s">
        <v>21</v>
      </c>
      <c r="D67" t="s">
        <v>10</v>
      </c>
      <c r="E67">
        <v>3</v>
      </c>
      <c r="F67">
        <v>20.079999999999998</v>
      </c>
      <c r="G67">
        <v>3.15</v>
      </c>
    </row>
    <row r="68" spans="1:7" x14ac:dyDescent="0.35">
      <c r="A68" t="s">
        <v>7</v>
      </c>
      <c r="B68" t="s">
        <v>8</v>
      </c>
      <c r="C68" t="s">
        <v>21</v>
      </c>
      <c r="D68" t="s">
        <v>10</v>
      </c>
      <c r="E68">
        <v>2</v>
      </c>
      <c r="F68">
        <v>16.45</v>
      </c>
      <c r="G68">
        <v>2.4700000000000002</v>
      </c>
    </row>
    <row r="69" spans="1:7" x14ac:dyDescent="0.35">
      <c r="A69" t="s">
        <v>7</v>
      </c>
      <c r="B69" t="s">
        <v>22</v>
      </c>
      <c r="C69" t="s">
        <v>21</v>
      </c>
      <c r="D69" t="s">
        <v>10</v>
      </c>
      <c r="E69">
        <v>1</v>
      </c>
      <c r="F69">
        <v>3.07</v>
      </c>
      <c r="G69">
        <v>1</v>
      </c>
    </row>
    <row r="70" spans="1:7" x14ac:dyDescent="0.35">
      <c r="A70" t="s">
        <v>11</v>
      </c>
      <c r="B70" t="s">
        <v>8</v>
      </c>
      <c r="C70" t="s">
        <v>21</v>
      </c>
      <c r="D70" t="s">
        <v>10</v>
      </c>
      <c r="E70">
        <v>2</v>
      </c>
      <c r="F70">
        <v>20.23</v>
      </c>
      <c r="G70">
        <v>2.0099999999999998</v>
      </c>
    </row>
    <row r="71" spans="1:7" x14ac:dyDescent="0.35">
      <c r="A71" t="s">
        <v>11</v>
      </c>
      <c r="B71" t="s">
        <v>22</v>
      </c>
      <c r="C71" t="s">
        <v>21</v>
      </c>
      <c r="D71" t="s">
        <v>10</v>
      </c>
      <c r="E71">
        <v>2</v>
      </c>
      <c r="F71">
        <v>15.01</v>
      </c>
      <c r="G71">
        <v>2.09</v>
      </c>
    </row>
    <row r="72" spans="1:7" x14ac:dyDescent="0.35">
      <c r="A72" t="s">
        <v>11</v>
      </c>
      <c r="B72" t="s">
        <v>8</v>
      </c>
      <c r="C72" t="s">
        <v>21</v>
      </c>
      <c r="D72" t="s">
        <v>10</v>
      </c>
      <c r="E72">
        <v>2</v>
      </c>
      <c r="F72">
        <v>12.02</v>
      </c>
      <c r="G72">
        <v>1.97</v>
      </c>
    </row>
    <row r="73" spans="1:7" x14ac:dyDescent="0.35">
      <c r="A73" t="s">
        <v>7</v>
      </c>
      <c r="B73" t="s">
        <v>8</v>
      </c>
      <c r="C73" t="s">
        <v>21</v>
      </c>
      <c r="D73" t="s">
        <v>10</v>
      </c>
      <c r="E73">
        <v>3</v>
      </c>
      <c r="F73">
        <v>17.07</v>
      </c>
      <c r="G73">
        <v>3</v>
      </c>
    </row>
    <row r="74" spans="1:7" x14ac:dyDescent="0.35">
      <c r="A74" t="s">
        <v>7</v>
      </c>
      <c r="B74" t="s">
        <v>22</v>
      </c>
      <c r="C74" t="s">
        <v>21</v>
      </c>
      <c r="D74" t="s">
        <v>10</v>
      </c>
      <c r="E74">
        <v>2</v>
      </c>
      <c r="F74">
        <v>26.86</v>
      </c>
      <c r="G74">
        <v>3.14</v>
      </c>
    </row>
    <row r="75" spans="1:7" x14ac:dyDescent="0.35">
      <c r="A75" t="s">
        <v>7</v>
      </c>
      <c r="B75" t="s">
        <v>22</v>
      </c>
      <c r="C75" t="s">
        <v>21</v>
      </c>
      <c r="D75" t="s">
        <v>10</v>
      </c>
      <c r="E75">
        <v>2</v>
      </c>
      <c r="F75">
        <v>25.28</v>
      </c>
      <c r="G75">
        <v>5</v>
      </c>
    </row>
    <row r="76" spans="1:7" x14ac:dyDescent="0.35">
      <c r="A76" t="s">
        <v>7</v>
      </c>
      <c r="B76" t="s">
        <v>8</v>
      </c>
      <c r="C76" t="s">
        <v>21</v>
      </c>
      <c r="D76" t="s">
        <v>10</v>
      </c>
      <c r="E76">
        <v>2</v>
      </c>
      <c r="F76">
        <v>14.73</v>
      </c>
      <c r="G76">
        <v>2.2000000000000002</v>
      </c>
    </row>
    <row r="77" spans="1:7" x14ac:dyDescent="0.35">
      <c r="A77" t="s">
        <v>11</v>
      </c>
      <c r="B77" t="s">
        <v>8</v>
      </c>
      <c r="C77" t="s">
        <v>21</v>
      </c>
      <c r="D77" t="s">
        <v>10</v>
      </c>
      <c r="E77">
        <v>2</v>
      </c>
      <c r="F77">
        <v>10.51</v>
      </c>
      <c r="G77">
        <v>1.25</v>
      </c>
    </row>
    <row r="78" spans="1:7" x14ac:dyDescent="0.35">
      <c r="A78" t="s">
        <v>11</v>
      </c>
      <c r="B78" t="s">
        <v>22</v>
      </c>
      <c r="C78" t="s">
        <v>21</v>
      </c>
      <c r="D78" t="s">
        <v>10</v>
      </c>
      <c r="E78">
        <v>2</v>
      </c>
      <c r="F78">
        <v>17.920000000000002</v>
      </c>
      <c r="G78">
        <v>3.08</v>
      </c>
    </row>
    <row r="79" spans="1:7" x14ac:dyDescent="0.35">
      <c r="A79" t="s">
        <v>11</v>
      </c>
      <c r="B79" t="s">
        <v>8</v>
      </c>
      <c r="C79" t="s">
        <v>23</v>
      </c>
      <c r="D79" t="s">
        <v>24</v>
      </c>
      <c r="E79">
        <v>4</v>
      </c>
      <c r="F79">
        <v>27.2</v>
      </c>
      <c r="G79">
        <v>4</v>
      </c>
    </row>
    <row r="80" spans="1:7" x14ac:dyDescent="0.35">
      <c r="A80" t="s">
        <v>11</v>
      </c>
      <c r="B80" t="s">
        <v>8</v>
      </c>
      <c r="C80" t="s">
        <v>23</v>
      </c>
      <c r="D80" t="s">
        <v>24</v>
      </c>
      <c r="E80">
        <v>2</v>
      </c>
      <c r="F80">
        <v>22.76</v>
      </c>
      <c r="G80">
        <v>3</v>
      </c>
    </row>
    <row r="81" spans="1:7" x14ac:dyDescent="0.35">
      <c r="A81" t="s">
        <v>11</v>
      </c>
      <c r="B81" t="s">
        <v>8</v>
      </c>
      <c r="C81" t="s">
        <v>23</v>
      </c>
      <c r="D81" t="s">
        <v>24</v>
      </c>
      <c r="E81">
        <v>2</v>
      </c>
      <c r="F81">
        <v>17.29</v>
      </c>
      <c r="G81">
        <v>2.71</v>
      </c>
    </row>
    <row r="82" spans="1:7" x14ac:dyDescent="0.35">
      <c r="A82" t="s">
        <v>11</v>
      </c>
      <c r="B82" t="s">
        <v>22</v>
      </c>
      <c r="C82" t="s">
        <v>23</v>
      </c>
      <c r="D82" t="s">
        <v>24</v>
      </c>
      <c r="E82">
        <v>2</v>
      </c>
      <c r="F82">
        <v>19.440000000000001</v>
      </c>
      <c r="G82">
        <v>3</v>
      </c>
    </row>
    <row r="83" spans="1:7" x14ac:dyDescent="0.35">
      <c r="A83" t="s">
        <v>11</v>
      </c>
      <c r="B83" t="s">
        <v>8</v>
      </c>
      <c r="C83" t="s">
        <v>23</v>
      </c>
      <c r="D83" t="s">
        <v>24</v>
      </c>
      <c r="E83">
        <v>2</v>
      </c>
      <c r="F83">
        <v>16.66</v>
      </c>
      <c r="G83">
        <v>3.4</v>
      </c>
    </row>
    <row r="84" spans="1:7" x14ac:dyDescent="0.35">
      <c r="A84" t="s">
        <v>7</v>
      </c>
      <c r="B84" t="s">
        <v>8</v>
      </c>
      <c r="C84" t="s">
        <v>23</v>
      </c>
      <c r="D84" t="s">
        <v>24</v>
      </c>
      <c r="E84">
        <v>1</v>
      </c>
      <c r="F84">
        <v>10.07</v>
      </c>
      <c r="G84">
        <v>1.83</v>
      </c>
    </row>
    <row r="85" spans="1:7" x14ac:dyDescent="0.35">
      <c r="A85" t="s">
        <v>11</v>
      </c>
      <c r="B85" t="s">
        <v>22</v>
      </c>
      <c r="C85" t="s">
        <v>23</v>
      </c>
      <c r="D85" t="s">
        <v>24</v>
      </c>
      <c r="E85">
        <v>2</v>
      </c>
      <c r="F85">
        <v>32.68</v>
      </c>
      <c r="G85">
        <v>5</v>
      </c>
    </row>
    <row r="86" spans="1:7" x14ac:dyDescent="0.35">
      <c r="A86" t="s">
        <v>11</v>
      </c>
      <c r="B86" t="s">
        <v>8</v>
      </c>
      <c r="C86" t="s">
        <v>23</v>
      </c>
      <c r="D86" t="s">
        <v>24</v>
      </c>
      <c r="E86">
        <v>2</v>
      </c>
      <c r="F86">
        <v>15.98</v>
      </c>
      <c r="G86">
        <v>2.0299999999999998</v>
      </c>
    </row>
    <row r="87" spans="1:7" x14ac:dyDescent="0.35">
      <c r="A87" t="s">
        <v>7</v>
      </c>
      <c r="B87" t="s">
        <v>8</v>
      </c>
      <c r="C87" t="s">
        <v>23</v>
      </c>
      <c r="D87" t="s">
        <v>24</v>
      </c>
      <c r="E87">
        <v>4</v>
      </c>
      <c r="F87">
        <v>34.83</v>
      </c>
      <c r="G87">
        <v>5.17</v>
      </c>
    </row>
    <row r="88" spans="1:7" x14ac:dyDescent="0.35">
      <c r="A88" t="s">
        <v>11</v>
      </c>
      <c r="B88" t="s">
        <v>8</v>
      </c>
      <c r="C88" t="s">
        <v>23</v>
      </c>
      <c r="D88" t="s">
        <v>24</v>
      </c>
      <c r="E88">
        <v>2</v>
      </c>
      <c r="F88">
        <v>13.03</v>
      </c>
      <c r="G88">
        <v>2</v>
      </c>
    </row>
    <row r="89" spans="1:7" x14ac:dyDescent="0.35">
      <c r="A89" t="s">
        <v>11</v>
      </c>
      <c r="B89" t="s">
        <v>8</v>
      </c>
      <c r="C89" t="s">
        <v>23</v>
      </c>
      <c r="D89" t="s">
        <v>24</v>
      </c>
      <c r="E89">
        <v>2</v>
      </c>
      <c r="F89">
        <v>18.28</v>
      </c>
      <c r="G89">
        <v>4</v>
      </c>
    </row>
    <row r="90" spans="1:7" x14ac:dyDescent="0.35">
      <c r="A90" t="s">
        <v>11</v>
      </c>
      <c r="B90" t="s">
        <v>8</v>
      </c>
      <c r="C90" t="s">
        <v>23</v>
      </c>
      <c r="D90" t="s">
        <v>24</v>
      </c>
      <c r="E90">
        <v>2</v>
      </c>
      <c r="F90">
        <v>24.71</v>
      </c>
      <c r="G90">
        <v>5.85</v>
      </c>
    </row>
    <row r="91" spans="1:7" x14ac:dyDescent="0.35">
      <c r="A91" t="s">
        <v>11</v>
      </c>
      <c r="B91" t="s">
        <v>8</v>
      </c>
      <c r="C91" t="s">
        <v>23</v>
      </c>
      <c r="D91" t="s">
        <v>24</v>
      </c>
      <c r="E91">
        <v>2</v>
      </c>
      <c r="F91">
        <v>21.16</v>
      </c>
      <c r="G91">
        <v>3</v>
      </c>
    </row>
    <row r="92" spans="1:7" x14ac:dyDescent="0.35">
      <c r="A92" t="s">
        <v>11</v>
      </c>
      <c r="B92" t="s">
        <v>22</v>
      </c>
      <c r="C92" t="s">
        <v>25</v>
      </c>
      <c r="D92" t="s">
        <v>10</v>
      </c>
      <c r="E92">
        <v>2</v>
      </c>
      <c r="F92">
        <v>28.97</v>
      </c>
      <c r="G92">
        <v>3</v>
      </c>
    </row>
    <row r="93" spans="1:7" x14ac:dyDescent="0.35">
      <c r="A93" t="s">
        <v>11</v>
      </c>
      <c r="B93" t="s">
        <v>8</v>
      </c>
      <c r="C93" t="s">
        <v>25</v>
      </c>
      <c r="D93" t="s">
        <v>10</v>
      </c>
      <c r="E93">
        <v>2</v>
      </c>
      <c r="F93">
        <v>22.49</v>
      </c>
      <c r="G93">
        <v>3.5</v>
      </c>
    </row>
    <row r="94" spans="1:7" x14ac:dyDescent="0.35">
      <c r="A94" t="s">
        <v>7</v>
      </c>
      <c r="B94" t="s">
        <v>22</v>
      </c>
      <c r="C94" t="s">
        <v>25</v>
      </c>
      <c r="D94" t="s">
        <v>10</v>
      </c>
      <c r="E94">
        <v>2</v>
      </c>
      <c r="F94">
        <v>5.75</v>
      </c>
      <c r="G94">
        <v>1</v>
      </c>
    </row>
    <row r="95" spans="1:7" x14ac:dyDescent="0.35">
      <c r="A95" t="s">
        <v>7</v>
      </c>
      <c r="B95" t="s">
        <v>22</v>
      </c>
      <c r="C95" t="s">
        <v>25</v>
      </c>
      <c r="D95" t="s">
        <v>10</v>
      </c>
      <c r="E95">
        <v>2</v>
      </c>
      <c r="F95">
        <v>16.32</v>
      </c>
      <c r="G95">
        <v>4.3</v>
      </c>
    </row>
    <row r="96" spans="1:7" x14ac:dyDescent="0.35">
      <c r="A96" t="s">
        <v>7</v>
      </c>
      <c r="B96" t="s">
        <v>8</v>
      </c>
      <c r="C96" t="s">
        <v>25</v>
      </c>
      <c r="D96" t="s">
        <v>10</v>
      </c>
      <c r="E96">
        <v>2</v>
      </c>
      <c r="F96">
        <v>22.75</v>
      </c>
      <c r="G96">
        <v>3.25</v>
      </c>
    </row>
    <row r="97" spans="1:7" x14ac:dyDescent="0.35">
      <c r="A97" t="s">
        <v>11</v>
      </c>
      <c r="B97" t="s">
        <v>22</v>
      </c>
      <c r="C97" t="s">
        <v>25</v>
      </c>
      <c r="D97" t="s">
        <v>10</v>
      </c>
      <c r="E97">
        <v>4</v>
      </c>
      <c r="F97">
        <v>40.17</v>
      </c>
      <c r="G97">
        <v>4.7300000000000004</v>
      </c>
    </row>
    <row r="98" spans="1:7" x14ac:dyDescent="0.35">
      <c r="A98" t="s">
        <v>11</v>
      </c>
      <c r="B98" t="s">
        <v>22</v>
      </c>
      <c r="C98" t="s">
        <v>25</v>
      </c>
      <c r="D98" t="s">
        <v>10</v>
      </c>
      <c r="E98">
        <v>2</v>
      </c>
      <c r="F98">
        <v>27.28</v>
      </c>
      <c r="G98">
        <v>4</v>
      </c>
    </row>
    <row r="99" spans="1:7" x14ac:dyDescent="0.35">
      <c r="A99" t="s">
        <v>11</v>
      </c>
      <c r="B99" t="s">
        <v>22</v>
      </c>
      <c r="C99" t="s">
        <v>25</v>
      </c>
      <c r="D99" t="s">
        <v>10</v>
      </c>
      <c r="E99">
        <v>2</v>
      </c>
      <c r="F99">
        <v>12.03</v>
      </c>
      <c r="G99">
        <v>1.5</v>
      </c>
    </row>
    <row r="100" spans="1:7" x14ac:dyDescent="0.35">
      <c r="A100" t="s">
        <v>11</v>
      </c>
      <c r="B100" t="s">
        <v>22</v>
      </c>
      <c r="C100" t="s">
        <v>25</v>
      </c>
      <c r="D100" t="s">
        <v>10</v>
      </c>
      <c r="E100">
        <v>2</v>
      </c>
      <c r="F100">
        <v>21.01</v>
      </c>
      <c r="G100">
        <v>3</v>
      </c>
    </row>
    <row r="101" spans="1:7" x14ac:dyDescent="0.35">
      <c r="A101" t="s">
        <v>11</v>
      </c>
      <c r="B101" t="s">
        <v>8</v>
      </c>
      <c r="C101" t="s">
        <v>25</v>
      </c>
      <c r="D101" t="s">
        <v>10</v>
      </c>
      <c r="E101">
        <v>2</v>
      </c>
      <c r="F101">
        <v>12.46</v>
      </c>
      <c r="G101">
        <v>1.5</v>
      </c>
    </row>
    <row r="102" spans="1:7" x14ac:dyDescent="0.35">
      <c r="A102" t="s">
        <v>7</v>
      </c>
      <c r="B102" t="s">
        <v>22</v>
      </c>
      <c r="C102" t="s">
        <v>25</v>
      </c>
      <c r="D102" t="s">
        <v>10</v>
      </c>
      <c r="E102">
        <v>2</v>
      </c>
      <c r="F102">
        <v>11.35</v>
      </c>
      <c r="G102">
        <v>2.5</v>
      </c>
    </row>
    <row r="103" spans="1:7" x14ac:dyDescent="0.35">
      <c r="A103" t="s">
        <v>7</v>
      </c>
      <c r="B103" t="s">
        <v>22</v>
      </c>
      <c r="C103" t="s">
        <v>25</v>
      </c>
      <c r="D103" t="s">
        <v>10</v>
      </c>
      <c r="E103">
        <v>2</v>
      </c>
      <c r="F103">
        <v>15.38</v>
      </c>
      <c r="G103">
        <v>3</v>
      </c>
    </row>
    <row r="104" spans="1:7" x14ac:dyDescent="0.35">
      <c r="A104" t="s">
        <v>7</v>
      </c>
      <c r="B104" t="s">
        <v>22</v>
      </c>
      <c r="C104" t="s">
        <v>21</v>
      </c>
      <c r="D104" t="s">
        <v>10</v>
      </c>
      <c r="E104">
        <v>3</v>
      </c>
      <c r="F104">
        <v>44.3</v>
      </c>
      <c r="G104">
        <v>2.5</v>
      </c>
    </row>
    <row r="105" spans="1:7" x14ac:dyDescent="0.35">
      <c r="A105" t="s">
        <v>7</v>
      </c>
      <c r="B105" t="s">
        <v>22</v>
      </c>
      <c r="C105" t="s">
        <v>21</v>
      </c>
      <c r="D105" t="s">
        <v>10</v>
      </c>
      <c r="E105">
        <v>2</v>
      </c>
      <c r="F105">
        <v>22.42</v>
      </c>
      <c r="G105">
        <v>3.48</v>
      </c>
    </row>
    <row r="106" spans="1:7" x14ac:dyDescent="0.35">
      <c r="A106" t="s">
        <v>7</v>
      </c>
      <c r="B106" t="s">
        <v>8</v>
      </c>
      <c r="C106" t="s">
        <v>21</v>
      </c>
      <c r="D106" t="s">
        <v>10</v>
      </c>
      <c r="E106">
        <v>2</v>
      </c>
      <c r="F106">
        <v>20.92</v>
      </c>
      <c r="G106">
        <v>4.08</v>
      </c>
    </row>
    <row r="107" spans="1:7" x14ac:dyDescent="0.35">
      <c r="A107" t="s">
        <v>11</v>
      </c>
      <c r="B107" t="s">
        <v>22</v>
      </c>
      <c r="C107" t="s">
        <v>21</v>
      </c>
      <c r="D107" t="s">
        <v>10</v>
      </c>
      <c r="E107">
        <v>2</v>
      </c>
      <c r="F107">
        <v>15.36</v>
      </c>
      <c r="G107">
        <v>1.64</v>
      </c>
    </row>
    <row r="108" spans="1:7" x14ac:dyDescent="0.35">
      <c r="A108" t="s">
        <v>11</v>
      </c>
      <c r="B108" t="s">
        <v>22</v>
      </c>
      <c r="C108" t="s">
        <v>21</v>
      </c>
      <c r="D108" t="s">
        <v>10</v>
      </c>
      <c r="E108">
        <v>2</v>
      </c>
      <c r="F108">
        <v>20.49</v>
      </c>
      <c r="G108">
        <v>4.0599999999999996</v>
      </c>
    </row>
    <row r="109" spans="1:7" x14ac:dyDescent="0.35">
      <c r="A109" t="s">
        <v>11</v>
      </c>
      <c r="B109" t="s">
        <v>22</v>
      </c>
      <c r="C109" t="s">
        <v>21</v>
      </c>
      <c r="D109" t="s">
        <v>10</v>
      </c>
      <c r="E109">
        <v>2</v>
      </c>
      <c r="F109">
        <v>25.21</v>
      </c>
      <c r="G109">
        <v>4.29</v>
      </c>
    </row>
    <row r="110" spans="1:7" x14ac:dyDescent="0.35">
      <c r="A110" t="s">
        <v>11</v>
      </c>
      <c r="B110" t="s">
        <v>8</v>
      </c>
      <c r="C110" t="s">
        <v>21</v>
      </c>
      <c r="D110" t="s">
        <v>10</v>
      </c>
      <c r="E110">
        <v>2</v>
      </c>
      <c r="F110">
        <v>18.239999999999998</v>
      </c>
      <c r="G110">
        <v>3.76</v>
      </c>
    </row>
    <row r="111" spans="1:7" x14ac:dyDescent="0.35">
      <c r="A111" t="s">
        <v>7</v>
      </c>
      <c r="B111" t="s">
        <v>22</v>
      </c>
      <c r="C111" t="s">
        <v>21</v>
      </c>
      <c r="D111" t="s">
        <v>10</v>
      </c>
      <c r="E111">
        <v>2</v>
      </c>
      <c r="F111">
        <v>14.31</v>
      </c>
      <c r="G111">
        <v>4</v>
      </c>
    </row>
    <row r="112" spans="1:7" x14ac:dyDescent="0.35">
      <c r="A112" t="s">
        <v>11</v>
      </c>
      <c r="B112" t="s">
        <v>8</v>
      </c>
      <c r="C112" t="s">
        <v>21</v>
      </c>
      <c r="D112" t="s">
        <v>10</v>
      </c>
      <c r="E112">
        <v>2</v>
      </c>
      <c r="F112">
        <v>14</v>
      </c>
      <c r="G112">
        <v>3</v>
      </c>
    </row>
    <row r="113" spans="1:7" x14ac:dyDescent="0.35">
      <c r="A113" t="s">
        <v>7</v>
      </c>
      <c r="B113" t="s">
        <v>8</v>
      </c>
      <c r="C113" t="s">
        <v>21</v>
      </c>
      <c r="D113" t="s">
        <v>10</v>
      </c>
      <c r="E113">
        <v>1</v>
      </c>
      <c r="F113">
        <v>7.25</v>
      </c>
      <c r="G113">
        <v>1</v>
      </c>
    </row>
    <row r="114" spans="1:7" x14ac:dyDescent="0.35">
      <c r="A114" t="s">
        <v>11</v>
      </c>
      <c r="B114" t="s">
        <v>8</v>
      </c>
      <c r="C114" t="s">
        <v>9</v>
      </c>
      <c r="D114" t="s">
        <v>10</v>
      </c>
      <c r="E114">
        <v>3</v>
      </c>
      <c r="F114">
        <v>38.07</v>
      </c>
      <c r="G114">
        <v>4</v>
      </c>
    </row>
    <row r="115" spans="1:7" x14ac:dyDescent="0.35">
      <c r="A115" t="s">
        <v>11</v>
      </c>
      <c r="B115" t="s">
        <v>8</v>
      </c>
      <c r="C115" t="s">
        <v>9</v>
      </c>
      <c r="D115" t="s">
        <v>10</v>
      </c>
      <c r="E115">
        <v>2</v>
      </c>
      <c r="F115">
        <v>23.95</v>
      </c>
      <c r="G115">
        <v>2.5499999999999998</v>
      </c>
    </row>
    <row r="116" spans="1:7" x14ac:dyDescent="0.35">
      <c r="A116" t="s">
        <v>7</v>
      </c>
      <c r="B116" t="s">
        <v>8</v>
      </c>
      <c r="C116" t="s">
        <v>9</v>
      </c>
      <c r="D116" t="s">
        <v>10</v>
      </c>
      <c r="E116">
        <v>3</v>
      </c>
      <c r="F116">
        <v>25.71</v>
      </c>
      <c r="G116">
        <v>4</v>
      </c>
    </row>
    <row r="117" spans="1:7" x14ac:dyDescent="0.35">
      <c r="A117" t="s">
        <v>7</v>
      </c>
      <c r="B117" t="s">
        <v>8</v>
      </c>
      <c r="C117" t="s">
        <v>9</v>
      </c>
      <c r="D117" t="s">
        <v>10</v>
      </c>
      <c r="E117">
        <v>2</v>
      </c>
      <c r="F117">
        <v>17.309999999999999</v>
      </c>
      <c r="G117">
        <v>3.5</v>
      </c>
    </row>
    <row r="118" spans="1:7" x14ac:dyDescent="0.35">
      <c r="A118" t="s">
        <v>11</v>
      </c>
      <c r="B118" t="s">
        <v>8</v>
      </c>
      <c r="C118" t="s">
        <v>9</v>
      </c>
      <c r="D118" t="s">
        <v>10</v>
      </c>
      <c r="E118">
        <v>4</v>
      </c>
      <c r="F118">
        <v>29.93</v>
      </c>
      <c r="G118">
        <v>5.07</v>
      </c>
    </row>
    <row r="119" spans="1:7" x14ac:dyDescent="0.35">
      <c r="A119" t="s">
        <v>7</v>
      </c>
      <c r="B119" t="s">
        <v>8</v>
      </c>
      <c r="C119" t="s">
        <v>23</v>
      </c>
      <c r="D119" t="s">
        <v>24</v>
      </c>
      <c r="E119">
        <v>2</v>
      </c>
      <c r="F119">
        <v>10.65</v>
      </c>
      <c r="G119">
        <v>1.5</v>
      </c>
    </row>
    <row r="120" spans="1:7" x14ac:dyDescent="0.35">
      <c r="A120" t="s">
        <v>7</v>
      </c>
      <c r="B120" t="s">
        <v>8</v>
      </c>
      <c r="C120" t="s">
        <v>23</v>
      </c>
      <c r="D120" t="s">
        <v>24</v>
      </c>
      <c r="E120">
        <v>2</v>
      </c>
      <c r="F120">
        <v>12.43</v>
      </c>
      <c r="G120">
        <v>1.8</v>
      </c>
    </row>
    <row r="121" spans="1:7" x14ac:dyDescent="0.35">
      <c r="A121" t="s">
        <v>7</v>
      </c>
      <c r="B121" t="s">
        <v>8</v>
      </c>
      <c r="C121" t="s">
        <v>23</v>
      </c>
      <c r="D121" t="s">
        <v>24</v>
      </c>
      <c r="E121">
        <v>4</v>
      </c>
      <c r="F121">
        <v>24.08</v>
      </c>
      <c r="G121">
        <v>2.92</v>
      </c>
    </row>
    <row r="122" spans="1:7" x14ac:dyDescent="0.35">
      <c r="A122" t="s">
        <v>11</v>
      </c>
      <c r="B122" t="s">
        <v>8</v>
      </c>
      <c r="C122" t="s">
        <v>23</v>
      </c>
      <c r="D122" t="s">
        <v>24</v>
      </c>
      <c r="E122">
        <v>2</v>
      </c>
      <c r="F122">
        <v>11.69</v>
      </c>
      <c r="G122">
        <v>2.31</v>
      </c>
    </row>
    <row r="123" spans="1:7" x14ac:dyDescent="0.35">
      <c r="A123" t="s">
        <v>7</v>
      </c>
      <c r="B123" t="s">
        <v>8</v>
      </c>
      <c r="C123" t="s">
        <v>23</v>
      </c>
      <c r="D123" t="s">
        <v>24</v>
      </c>
      <c r="E123">
        <v>2</v>
      </c>
      <c r="F123">
        <v>13.42</v>
      </c>
      <c r="G123">
        <v>1.68</v>
      </c>
    </row>
    <row r="124" spans="1:7" x14ac:dyDescent="0.35">
      <c r="A124" t="s">
        <v>11</v>
      </c>
      <c r="B124" t="s">
        <v>8</v>
      </c>
      <c r="C124" t="s">
        <v>23</v>
      </c>
      <c r="D124" t="s">
        <v>24</v>
      </c>
      <c r="E124">
        <v>2</v>
      </c>
      <c r="F124">
        <v>14.26</v>
      </c>
      <c r="G124">
        <v>2.5</v>
      </c>
    </row>
    <row r="125" spans="1:7" x14ac:dyDescent="0.35">
      <c r="A125" t="s">
        <v>11</v>
      </c>
      <c r="B125" t="s">
        <v>8</v>
      </c>
      <c r="C125" t="s">
        <v>23</v>
      </c>
      <c r="D125" t="s">
        <v>24</v>
      </c>
      <c r="E125">
        <v>2</v>
      </c>
      <c r="F125">
        <v>15.95</v>
      </c>
      <c r="G125">
        <v>2</v>
      </c>
    </row>
    <row r="126" spans="1:7" x14ac:dyDescent="0.35">
      <c r="A126" t="s">
        <v>7</v>
      </c>
      <c r="B126" t="s">
        <v>8</v>
      </c>
      <c r="C126" t="s">
        <v>23</v>
      </c>
      <c r="D126" t="s">
        <v>24</v>
      </c>
      <c r="E126">
        <v>2</v>
      </c>
      <c r="F126">
        <v>12.48</v>
      </c>
      <c r="G126">
        <v>2.52</v>
      </c>
    </row>
    <row r="127" spans="1:7" x14ac:dyDescent="0.35">
      <c r="A127" t="s">
        <v>7</v>
      </c>
      <c r="B127" t="s">
        <v>8</v>
      </c>
      <c r="C127" t="s">
        <v>23</v>
      </c>
      <c r="D127" t="s">
        <v>24</v>
      </c>
      <c r="E127">
        <v>6</v>
      </c>
      <c r="F127">
        <v>29.8</v>
      </c>
      <c r="G127">
        <v>4.2</v>
      </c>
    </row>
    <row r="128" spans="1:7" x14ac:dyDescent="0.35">
      <c r="A128" t="s">
        <v>11</v>
      </c>
      <c r="B128" t="s">
        <v>8</v>
      </c>
      <c r="C128" t="s">
        <v>23</v>
      </c>
      <c r="D128" t="s">
        <v>24</v>
      </c>
      <c r="E128">
        <v>2</v>
      </c>
      <c r="F128">
        <v>8.52</v>
      </c>
      <c r="G128">
        <v>1.48</v>
      </c>
    </row>
    <row r="129" spans="1:7" x14ac:dyDescent="0.35">
      <c r="A129" t="s">
        <v>7</v>
      </c>
      <c r="B129" t="s">
        <v>8</v>
      </c>
      <c r="C129" t="s">
        <v>23</v>
      </c>
      <c r="D129" t="s">
        <v>24</v>
      </c>
      <c r="E129">
        <v>2</v>
      </c>
      <c r="F129">
        <v>14.52</v>
      </c>
      <c r="G129">
        <v>2</v>
      </c>
    </row>
    <row r="130" spans="1:7" x14ac:dyDescent="0.35">
      <c r="A130" t="s">
        <v>7</v>
      </c>
      <c r="B130" t="s">
        <v>8</v>
      </c>
      <c r="C130" t="s">
        <v>23</v>
      </c>
      <c r="D130" t="s">
        <v>24</v>
      </c>
      <c r="E130">
        <v>2</v>
      </c>
      <c r="F130">
        <v>11.38</v>
      </c>
      <c r="G130">
        <v>2</v>
      </c>
    </row>
    <row r="131" spans="1:7" x14ac:dyDescent="0.35">
      <c r="A131" t="s">
        <v>11</v>
      </c>
      <c r="B131" t="s">
        <v>8</v>
      </c>
      <c r="C131" t="s">
        <v>23</v>
      </c>
      <c r="D131" t="s">
        <v>24</v>
      </c>
      <c r="E131">
        <v>3</v>
      </c>
      <c r="F131">
        <v>22.82</v>
      </c>
      <c r="G131">
        <v>2.1800000000000002</v>
      </c>
    </row>
    <row r="132" spans="1:7" x14ac:dyDescent="0.35">
      <c r="A132" t="s">
        <v>11</v>
      </c>
      <c r="B132" t="s">
        <v>8</v>
      </c>
      <c r="C132" t="s">
        <v>23</v>
      </c>
      <c r="D132" t="s">
        <v>24</v>
      </c>
      <c r="E132">
        <v>2</v>
      </c>
      <c r="F132">
        <v>19.079999999999998</v>
      </c>
      <c r="G132">
        <v>1.5</v>
      </c>
    </row>
    <row r="133" spans="1:7" x14ac:dyDescent="0.35">
      <c r="A133" t="s">
        <v>7</v>
      </c>
      <c r="B133" t="s">
        <v>8</v>
      </c>
      <c r="C133" t="s">
        <v>23</v>
      </c>
      <c r="D133" t="s">
        <v>24</v>
      </c>
      <c r="E133">
        <v>2</v>
      </c>
      <c r="F133">
        <v>20.27</v>
      </c>
      <c r="G133">
        <v>2.83</v>
      </c>
    </row>
    <row r="134" spans="1:7" x14ac:dyDescent="0.35">
      <c r="A134" t="s">
        <v>7</v>
      </c>
      <c r="B134" t="s">
        <v>8</v>
      </c>
      <c r="C134" t="s">
        <v>23</v>
      </c>
      <c r="D134" t="s">
        <v>24</v>
      </c>
      <c r="E134">
        <v>2</v>
      </c>
      <c r="F134">
        <v>11.17</v>
      </c>
      <c r="G134">
        <v>1.5</v>
      </c>
    </row>
    <row r="135" spans="1:7" x14ac:dyDescent="0.35">
      <c r="A135" t="s">
        <v>7</v>
      </c>
      <c r="B135" t="s">
        <v>8</v>
      </c>
      <c r="C135" t="s">
        <v>23</v>
      </c>
      <c r="D135" t="s">
        <v>24</v>
      </c>
      <c r="E135">
        <v>2</v>
      </c>
      <c r="F135">
        <v>12.26</v>
      </c>
      <c r="G135">
        <v>2</v>
      </c>
    </row>
    <row r="136" spans="1:7" x14ac:dyDescent="0.35">
      <c r="A136" t="s">
        <v>7</v>
      </c>
      <c r="B136" t="s">
        <v>8</v>
      </c>
      <c r="C136" t="s">
        <v>23</v>
      </c>
      <c r="D136" t="s">
        <v>24</v>
      </c>
      <c r="E136">
        <v>2</v>
      </c>
      <c r="F136">
        <v>18.260000000000002</v>
      </c>
      <c r="G136">
        <v>3.25</v>
      </c>
    </row>
    <row r="137" spans="1:7" x14ac:dyDescent="0.35">
      <c r="A137" t="s">
        <v>7</v>
      </c>
      <c r="B137" t="s">
        <v>8</v>
      </c>
      <c r="C137" t="s">
        <v>23</v>
      </c>
      <c r="D137" t="s">
        <v>24</v>
      </c>
      <c r="E137">
        <v>2</v>
      </c>
      <c r="F137">
        <v>8.51</v>
      </c>
      <c r="G137">
        <v>1.25</v>
      </c>
    </row>
    <row r="138" spans="1:7" x14ac:dyDescent="0.35">
      <c r="A138" t="s">
        <v>7</v>
      </c>
      <c r="B138" t="s">
        <v>8</v>
      </c>
      <c r="C138" t="s">
        <v>23</v>
      </c>
      <c r="D138" t="s">
        <v>24</v>
      </c>
      <c r="E138">
        <v>2</v>
      </c>
      <c r="F138">
        <v>10.33</v>
      </c>
      <c r="G138">
        <v>2</v>
      </c>
    </row>
    <row r="139" spans="1:7" x14ac:dyDescent="0.35">
      <c r="A139" t="s">
        <v>7</v>
      </c>
      <c r="B139" t="s">
        <v>8</v>
      </c>
      <c r="C139" t="s">
        <v>23</v>
      </c>
      <c r="D139" t="s">
        <v>24</v>
      </c>
      <c r="E139">
        <v>2</v>
      </c>
      <c r="F139">
        <v>14.15</v>
      </c>
      <c r="G139">
        <v>2</v>
      </c>
    </row>
    <row r="140" spans="1:7" x14ac:dyDescent="0.35">
      <c r="A140" t="s">
        <v>11</v>
      </c>
      <c r="B140" t="s">
        <v>22</v>
      </c>
      <c r="C140" t="s">
        <v>23</v>
      </c>
      <c r="D140" t="s">
        <v>24</v>
      </c>
      <c r="E140">
        <v>2</v>
      </c>
      <c r="F140">
        <v>16</v>
      </c>
      <c r="G140">
        <v>2</v>
      </c>
    </row>
    <row r="141" spans="1:7" x14ac:dyDescent="0.35">
      <c r="A141" t="s">
        <v>7</v>
      </c>
      <c r="B141" t="s">
        <v>8</v>
      </c>
      <c r="C141" t="s">
        <v>23</v>
      </c>
      <c r="D141" t="s">
        <v>24</v>
      </c>
      <c r="E141">
        <v>2</v>
      </c>
      <c r="F141">
        <v>13.16</v>
      </c>
      <c r="G141">
        <v>2.75</v>
      </c>
    </row>
    <row r="142" spans="1:7" x14ac:dyDescent="0.35">
      <c r="A142" t="s">
        <v>7</v>
      </c>
      <c r="B142" t="s">
        <v>8</v>
      </c>
      <c r="C142" t="s">
        <v>23</v>
      </c>
      <c r="D142" t="s">
        <v>24</v>
      </c>
      <c r="E142">
        <v>2</v>
      </c>
      <c r="F142">
        <v>17.47</v>
      </c>
      <c r="G142">
        <v>3.5</v>
      </c>
    </row>
    <row r="143" spans="1:7" x14ac:dyDescent="0.35">
      <c r="A143" t="s">
        <v>11</v>
      </c>
      <c r="B143" t="s">
        <v>8</v>
      </c>
      <c r="C143" t="s">
        <v>23</v>
      </c>
      <c r="D143" t="s">
        <v>24</v>
      </c>
      <c r="E143">
        <v>6</v>
      </c>
      <c r="F143">
        <v>34.299999999999997</v>
      </c>
      <c r="G143">
        <v>6.7</v>
      </c>
    </row>
    <row r="144" spans="1:7" x14ac:dyDescent="0.35">
      <c r="A144" t="s">
        <v>11</v>
      </c>
      <c r="B144" t="s">
        <v>8</v>
      </c>
      <c r="C144" t="s">
        <v>23</v>
      </c>
      <c r="D144" t="s">
        <v>24</v>
      </c>
      <c r="E144">
        <v>5</v>
      </c>
      <c r="F144">
        <v>41.19</v>
      </c>
      <c r="G144">
        <v>5</v>
      </c>
    </row>
    <row r="145" spans="1:7" x14ac:dyDescent="0.35">
      <c r="A145" t="s">
        <v>7</v>
      </c>
      <c r="B145" t="s">
        <v>8</v>
      </c>
      <c r="C145" t="s">
        <v>23</v>
      </c>
      <c r="D145" t="s">
        <v>24</v>
      </c>
      <c r="E145">
        <v>6</v>
      </c>
      <c r="F145">
        <v>27.05</v>
      </c>
      <c r="G145">
        <v>5</v>
      </c>
    </row>
    <row r="146" spans="1:7" x14ac:dyDescent="0.35">
      <c r="A146" t="s">
        <v>7</v>
      </c>
      <c r="B146" t="s">
        <v>8</v>
      </c>
      <c r="C146" t="s">
        <v>23</v>
      </c>
      <c r="D146" t="s">
        <v>24</v>
      </c>
      <c r="E146">
        <v>2</v>
      </c>
      <c r="F146">
        <v>16.43</v>
      </c>
      <c r="G146">
        <v>2.2999999999999998</v>
      </c>
    </row>
    <row r="147" spans="1:7" x14ac:dyDescent="0.35">
      <c r="A147" t="s">
        <v>7</v>
      </c>
      <c r="B147" t="s">
        <v>8</v>
      </c>
      <c r="C147" t="s">
        <v>23</v>
      </c>
      <c r="D147" t="s">
        <v>24</v>
      </c>
      <c r="E147">
        <v>2</v>
      </c>
      <c r="F147">
        <v>8.35</v>
      </c>
      <c r="G147">
        <v>1.5</v>
      </c>
    </row>
    <row r="148" spans="1:7" x14ac:dyDescent="0.35">
      <c r="A148" t="s">
        <v>7</v>
      </c>
      <c r="B148" t="s">
        <v>8</v>
      </c>
      <c r="C148" t="s">
        <v>23</v>
      </c>
      <c r="D148" t="s">
        <v>24</v>
      </c>
      <c r="E148">
        <v>3</v>
      </c>
      <c r="F148">
        <v>18.64</v>
      </c>
      <c r="G148">
        <v>1.36</v>
      </c>
    </row>
    <row r="149" spans="1:7" x14ac:dyDescent="0.35">
      <c r="A149" t="s">
        <v>7</v>
      </c>
      <c r="B149" t="s">
        <v>8</v>
      </c>
      <c r="C149" t="s">
        <v>23</v>
      </c>
      <c r="D149" t="s">
        <v>24</v>
      </c>
      <c r="E149">
        <v>2</v>
      </c>
      <c r="F149">
        <v>11.87</v>
      </c>
      <c r="G149">
        <v>1.63</v>
      </c>
    </row>
    <row r="150" spans="1:7" x14ac:dyDescent="0.35">
      <c r="A150" t="s">
        <v>11</v>
      </c>
      <c r="B150" t="s">
        <v>8</v>
      </c>
      <c r="C150" t="s">
        <v>23</v>
      </c>
      <c r="D150" t="s">
        <v>24</v>
      </c>
      <c r="E150">
        <v>2</v>
      </c>
      <c r="F150">
        <v>9.7799999999999994</v>
      </c>
      <c r="G150">
        <v>1.73</v>
      </c>
    </row>
    <row r="151" spans="1:7" x14ac:dyDescent="0.35">
      <c r="A151" t="s">
        <v>11</v>
      </c>
      <c r="B151" t="s">
        <v>8</v>
      </c>
      <c r="C151" t="s">
        <v>23</v>
      </c>
      <c r="D151" t="s">
        <v>24</v>
      </c>
      <c r="E151">
        <v>2</v>
      </c>
      <c r="F151">
        <v>7.51</v>
      </c>
      <c r="G151">
        <v>2</v>
      </c>
    </row>
    <row r="152" spans="1:7" x14ac:dyDescent="0.35">
      <c r="A152" t="s">
        <v>11</v>
      </c>
      <c r="B152" t="s">
        <v>8</v>
      </c>
      <c r="C152" t="s">
        <v>9</v>
      </c>
      <c r="D152" t="s">
        <v>10</v>
      </c>
      <c r="E152">
        <v>2</v>
      </c>
      <c r="F152">
        <v>14.07</v>
      </c>
      <c r="G152">
        <v>2.5</v>
      </c>
    </row>
    <row r="153" spans="1:7" x14ac:dyDescent="0.35">
      <c r="A153" t="s">
        <v>11</v>
      </c>
      <c r="B153" t="s">
        <v>8</v>
      </c>
      <c r="C153" t="s">
        <v>9</v>
      </c>
      <c r="D153" t="s">
        <v>10</v>
      </c>
      <c r="E153">
        <v>2</v>
      </c>
      <c r="F153">
        <v>13.13</v>
      </c>
      <c r="G153">
        <v>2</v>
      </c>
    </row>
    <row r="154" spans="1:7" x14ac:dyDescent="0.35">
      <c r="A154" t="s">
        <v>11</v>
      </c>
      <c r="B154" t="s">
        <v>8</v>
      </c>
      <c r="C154" t="s">
        <v>9</v>
      </c>
      <c r="D154" t="s">
        <v>10</v>
      </c>
      <c r="E154">
        <v>3</v>
      </c>
      <c r="F154">
        <v>17.260000000000002</v>
      </c>
      <c r="G154">
        <v>2.74</v>
      </c>
    </row>
    <row r="155" spans="1:7" x14ac:dyDescent="0.35">
      <c r="A155" t="s">
        <v>11</v>
      </c>
      <c r="B155" t="s">
        <v>8</v>
      </c>
      <c r="C155" t="s">
        <v>9</v>
      </c>
      <c r="D155" t="s">
        <v>10</v>
      </c>
      <c r="E155">
        <v>4</v>
      </c>
      <c r="F155">
        <v>24.55</v>
      </c>
      <c r="G155">
        <v>2</v>
      </c>
    </row>
    <row r="156" spans="1:7" x14ac:dyDescent="0.35">
      <c r="A156" t="s">
        <v>11</v>
      </c>
      <c r="B156" t="s">
        <v>8</v>
      </c>
      <c r="C156" t="s">
        <v>9</v>
      </c>
      <c r="D156" t="s">
        <v>10</v>
      </c>
      <c r="E156">
        <v>4</v>
      </c>
      <c r="F156">
        <v>19.77</v>
      </c>
      <c r="G156">
        <v>2</v>
      </c>
    </row>
    <row r="157" spans="1:7" x14ac:dyDescent="0.35">
      <c r="A157" t="s">
        <v>7</v>
      </c>
      <c r="B157" t="s">
        <v>8</v>
      </c>
      <c r="C157" t="s">
        <v>9</v>
      </c>
      <c r="D157" t="s">
        <v>10</v>
      </c>
      <c r="E157">
        <v>5</v>
      </c>
      <c r="F157">
        <v>29.85</v>
      </c>
      <c r="G157">
        <v>5.14</v>
      </c>
    </row>
    <row r="158" spans="1:7" x14ac:dyDescent="0.35">
      <c r="A158" t="s">
        <v>11</v>
      </c>
      <c r="B158" t="s">
        <v>8</v>
      </c>
      <c r="C158" t="s">
        <v>9</v>
      </c>
      <c r="D158" t="s">
        <v>10</v>
      </c>
      <c r="E158">
        <v>6</v>
      </c>
      <c r="F158">
        <v>48.17</v>
      </c>
      <c r="G158">
        <v>5</v>
      </c>
    </row>
    <row r="159" spans="1:7" x14ac:dyDescent="0.35">
      <c r="A159" t="s">
        <v>7</v>
      </c>
      <c r="B159" t="s">
        <v>8</v>
      </c>
      <c r="C159" t="s">
        <v>9</v>
      </c>
      <c r="D159" t="s">
        <v>10</v>
      </c>
      <c r="E159">
        <v>4</v>
      </c>
      <c r="F159">
        <v>25</v>
      </c>
      <c r="G159">
        <v>3.75</v>
      </c>
    </row>
    <row r="160" spans="1:7" x14ac:dyDescent="0.35">
      <c r="A160" t="s">
        <v>7</v>
      </c>
      <c r="B160" t="s">
        <v>8</v>
      </c>
      <c r="C160" t="s">
        <v>9</v>
      </c>
      <c r="D160" t="s">
        <v>10</v>
      </c>
      <c r="E160">
        <v>2</v>
      </c>
      <c r="F160">
        <v>13.39</v>
      </c>
      <c r="G160">
        <v>2.61</v>
      </c>
    </row>
    <row r="161" spans="1:7" x14ac:dyDescent="0.35">
      <c r="A161" t="s">
        <v>11</v>
      </c>
      <c r="B161" t="s">
        <v>8</v>
      </c>
      <c r="C161" t="s">
        <v>9</v>
      </c>
      <c r="D161" t="s">
        <v>10</v>
      </c>
      <c r="E161">
        <v>4</v>
      </c>
      <c r="F161">
        <v>16.489999999999998</v>
      </c>
      <c r="G161">
        <v>2</v>
      </c>
    </row>
    <row r="162" spans="1:7" x14ac:dyDescent="0.35">
      <c r="A162" t="s">
        <v>11</v>
      </c>
      <c r="B162" t="s">
        <v>8</v>
      </c>
      <c r="C162" t="s">
        <v>9</v>
      </c>
      <c r="D162" t="s">
        <v>10</v>
      </c>
      <c r="E162">
        <v>4</v>
      </c>
      <c r="F162">
        <v>21.5</v>
      </c>
      <c r="G162">
        <v>3.5</v>
      </c>
    </row>
    <row r="163" spans="1:7" x14ac:dyDescent="0.35">
      <c r="A163" t="s">
        <v>11</v>
      </c>
      <c r="B163" t="s">
        <v>8</v>
      </c>
      <c r="C163" t="s">
        <v>9</v>
      </c>
      <c r="D163" t="s">
        <v>10</v>
      </c>
      <c r="E163">
        <v>2</v>
      </c>
      <c r="F163">
        <v>12.66</v>
      </c>
      <c r="G163">
        <v>2.5</v>
      </c>
    </row>
    <row r="164" spans="1:7" x14ac:dyDescent="0.35">
      <c r="A164" t="s">
        <v>7</v>
      </c>
      <c r="B164" t="s">
        <v>8</v>
      </c>
      <c r="C164" t="s">
        <v>9</v>
      </c>
      <c r="D164" t="s">
        <v>10</v>
      </c>
      <c r="E164">
        <v>3</v>
      </c>
      <c r="F164">
        <v>16.21</v>
      </c>
      <c r="G164">
        <v>2</v>
      </c>
    </row>
    <row r="165" spans="1:7" x14ac:dyDescent="0.35">
      <c r="A165" t="s">
        <v>11</v>
      </c>
      <c r="B165" t="s">
        <v>8</v>
      </c>
      <c r="C165" t="s">
        <v>9</v>
      </c>
      <c r="D165" t="s">
        <v>10</v>
      </c>
      <c r="E165">
        <v>2</v>
      </c>
      <c r="F165">
        <v>13.81</v>
      </c>
      <c r="G165">
        <v>2</v>
      </c>
    </row>
    <row r="166" spans="1:7" x14ac:dyDescent="0.35">
      <c r="A166" t="s">
        <v>7</v>
      </c>
      <c r="B166" t="s">
        <v>22</v>
      </c>
      <c r="C166" t="s">
        <v>9</v>
      </c>
      <c r="D166" t="s">
        <v>10</v>
      </c>
      <c r="E166">
        <v>2</v>
      </c>
      <c r="F166">
        <v>17.510000000000002</v>
      </c>
      <c r="G166">
        <v>3</v>
      </c>
    </row>
    <row r="167" spans="1:7" x14ac:dyDescent="0.35">
      <c r="A167" t="s">
        <v>11</v>
      </c>
      <c r="B167" t="s">
        <v>8</v>
      </c>
      <c r="C167" t="s">
        <v>9</v>
      </c>
      <c r="D167" t="s">
        <v>10</v>
      </c>
      <c r="E167">
        <v>3</v>
      </c>
      <c r="F167">
        <v>24.52</v>
      </c>
      <c r="G167">
        <v>3.48</v>
      </c>
    </row>
    <row r="168" spans="1:7" x14ac:dyDescent="0.35">
      <c r="A168" t="s">
        <v>11</v>
      </c>
      <c r="B168" t="s">
        <v>8</v>
      </c>
      <c r="C168" t="s">
        <v>9</v>
      </c>
      <c r="D168" t="s">
        <v>10</v>
      </c>
      <c r="E168">
        <v>2</v>
      </c>
      <c r="F168">
        <v>20.76</v>
      </c>
      <c r="G168">
        <v>2.2400000000000002</v>
      </c>
    </row>
    <row r="169" spans="1:7" x14ac:dyDescent="0.35">
      <c r="A169" t="s">
        <v>11</v>
      </c>
      <c r="B169" t="s">
        <v>8</v>
      </c>
      <c r="C169" t="s">
        <v>9</v>
      </c>
      <c r="D169" t="s">
        <v>10</v>
      </c>
      <c r="E169">
        <v>4</v>
      </c>
      <c r="F169">
        <v>31.71</v>
      </c>
      <c r="G169">
        <v>4.5</v>
      </c>
    </row>
    <row r="170" spans="1:7" x14ac:dyDescent="0.35">
      <c r="A170" t="s">
        <v>7</v>
      </c>
      <c r="B170" t="s">
        <v>22</v>
      </c>
      <c r="C170" t="s">
        <v>21</v>
      </c>
      <c r="D170" t="s">
        <v>10</v>
      </c>
      <c r="E170">
        <v>2</v>
      </c>
      <c r="F170">
        <v>10.59</v>
      </c>
      <c r="G170">
        <v>1.61</v>
      </c>
    </row>
    <row r="171" spans="1:7" x14ac:dyDescent="0.35">
      <c r="A171" t="s">
        <v>7</v>
      </c>
      <c r="B171" t="s">
        <v>22</v>
      </c>
      <c r="C171" t="s">
        <v>21</v>
      </c>
      <c r="D171" t="s">
        <v>10</v>
      </c>
      <c r="E171">
        <v>2</v>
      </c>
      <c r="F171">
        <v>10.63</v>
      </c>
      <c r="G171">
        <v>2</v>
      </c>
    </row>
    <row r="172" spans="1:7" x14ac:dyDescent="0.35">
      <c r="A172" t="s">
        <v>11</v>
      </c>
      <c r="B172" t="s">
        <v>22</v>
      </c>
      <c r="C172" t="s">
        <v>21</v>
      </c>
      <c r="D172" t="s">
        <v>10</v>
      </c>
      <c r="E172">
        <v>3</v>
      </c>
      <c r="F172">
        <v>50.81</v>
      </c>
      <c r="G172">
        <v>10</v>
      </c>
    </row>
    <row r="173" spans="1:7" x14ac:dyDescent="0.35">
      <c r="A173" t="s">
        <v>11</v>
      </c>
      <c r="B173" t="s">
        <v>22</v>
      </c>
      <c r="C173" t="s">
        <v>21</v>
      </c>
      <c r="D173" t="s">
        <v>10</v>
      </c>
      <c r="E173">
        <v>2</v>
      </c>
      <c r="F173">
        <v>15.81</v>
      </c>
      <c r="G173">
        <v>3.16</v>
      </c>
    </row>
    <row r="174" spans="1:7" x14ac:dyDescent="0.35">
      <c r="A174" t="s">
        <v>11</v>
      </c>
      <c r="B174" t="s">
        <v>22</v>
      </c>
      <c r="C174" t="s">
        <v>9</v>
      </c>
      <c r="D174" t="s">
        <v>10</v>
      </c>
      <c r="E174">
        <v>2</v>
      </c>
      <c r="F174">
        <v>7.25</v>
      </c>
      <c r="G174">
        <v>5.15</v>
      </c>
    </row>
    <row r="175" spans="1:7" x14ac:dyDescent="0.35">
      <c r="A175" t="s">
        <v>11</v>
      </c>
      <c r="B175" t="s">
        <v>22</v>
      </c>
      <c r="C175" t="s">
        <v>9</v>
      </c>
      <c r="D175" t="s">
        <v>10</v>
      </c>
      <c r="E175">
        <v>2</v>
      </c>
      <c r="F175">
        <v>31.85</v>
      </c>
      <c r="G175">
        <v>3.18</v>
      </c>
    </row>
    <row r="176" spans="1:7" x14ac:dyDescent="0.35">
      <c r="A176" t="s">
        <v>11</v>
      </c>
      <c r="B176" t="s">
        <v>22</v>
      </c>
      <c r="C176" t="s">
        <v>9</v>
      </c>
      <c r="D176" t="s">
        <v>10</v>
      </c>
      <c r="E176">
        <v>2</v>
      </c>
      <c r="F176">
        <v>16.82</v>
      </c>
      <c r="G176">
        <v>4</v>
      </c>
    </row>
    <row r="177" spans="1:7" x14ac:dyDescent="0.35">
      <c r="A177" t="s">
        <v>11</v>
      </c>
      <c r="B177" t="s">
        <v>22</v>
      </c>
      <c r="C177" t="s">
        <v>9</v>
      </c>
      <c r="D177" t="s">
        <v>10</v>
      </c>
      <c r="E177">
        <v>2</v>
      </c>
      <c r="F177">
        <v>32.9</v>
      </c>
      <c r="G177">
        <v>3.11</v>
      </c>
    </row>
    <row r="178" spans="1:7" x14ac:dyDescent="0.35">
      <c r="A178" t="s">
        <v>11</v>
      </c>
      <c r="B178" t="s">
        <v>22</v>
      </c>
      <c r="C178" t="s">
        <v>9</v>
      </c>
      <c r="D178" t="s">
        <v>10</v>
      </c>
      <c r="E178">
        <v>2</v>
      </c>
      <c r="F178">
        <v>17.89</v>
      </c>
      <c r="G178">
        <v>2</v>
      </c>
    </row>
    <row r="179" spans="1:7" x14ac:dyDescent="0.35">
      <c r="A179" t="s">
        <v>11</v>
      </c>
      <c r="B179" t="s">
        <v>22</v>
      </c>
      <c r="C179" t="s">
        <v>9</v>
      </c>
      <c r="D179" t="s">
        <v>10</v>
      </c>
      <c r="E179">
        <v>2</v>
      </c>
      <c r="F179">
        <v>14.48</v>
      </c>
      <c r="G179">
        <v>2</v>
      </c>
    </row>
    <row r="180" spans="1:7" x14ac:dyDescent="0.35">
      <c r="A180" t="s">
        <v>7</v>
      </c>
      <c r="B180" t="s">
        <v>22</v>
      </c>
      <c r="C180" t="s">
        <v>9</v>
      </c>
      <c r="D180" t="s">
        <v>10</v>
      </c>
      <c r="E180">
        <v>2</v>
      </c>
      <c r="F180">
        <v>9.6</v>
      </c>
      <c r="G180">
        <v>4</v>
      </c>
    </row>
    <row r="181" spans="1:7" x14ac:dyDescent="0.35">
      <c r="A181" t="s">
        <v>11</v>
      </c>
      <c r="B181" t="s">
        <v>22</v>
      </c>
      <c r="C181" t="s">
        <v>9</v>
      </c>
      <c r="D181" t="s">
        <v>10</v>
      </c>
      <c r="E181">
        <v>2</v>
      </c>
      <c r="F181">
        <v>34.630000000000003</v>
      </c>
      <c r="G181">
        <v>3.55</v>
      </c>
    </row>
    <row r="182" spans="1:7" x14ac:dyDescent="0.35">
      <c r="A182" t="s">
        <v>11</v>
      </c>
      <c r="B182" t="s">
        <v>22</v>
      </c>
      <c r="C182" t="s">
        <v>9</v>
      </c>
      <c r="D182" t="s">
        <v>10</v>
      </c>
      <c r="E182">
        <v>4</v>
      </c>
      <c r="F182">
        <v>34.65</v>
      </c>
      <c r="G182">
        <v>3.68</v>
      </c>
    </row>
    <row r="183" spans="1:7" x14ac:dyDescent="0.35">
      <c r="A183" t="s">
        <v>11</v>
      </c>
      <c r="B183" t="s">
        <v>22</v>
      </c>
      <c r="C183" t="s">
        <v>9</v>
      </c>
      <c r="D183" t="s">
        <v>10</v>
      </c>
      <c r="E183">
        <v>2</v>
      </c>
      <c r="F183">
        <v>23.33</v>
      </c>
      <c r="G183">
        <v>5.65</v>
      </c>
    </row>
    <row r="184" spans="1:7" x14ac:dyDescent="0.35">
      <c r="A184" t="s">
        <v>11</v>
      </c>
      <c r="B184" t="s">
        <v>22</v>
      </c>
      <c r="C184" t="s">
        <v>9</v>
      </c>
      <c r="D184" t="s">
        <v>10</v>
      </c>
      <c r="E184">
        <v>3</v>
      </c>
      <c r="F184">
        <v>45.35</v>
      </c>
      <c r="G184">
        <v>3.5</v>
      </c>
    </row>
    <row r="185" spans="1:7" x14ac:dyDescent="0.35">
      <c r="A185" t="s">
        <v>11</v>
      </c>
      <c r="B185" t="s">
        <v>22</v>
      </c>
      <c r="C185" t="s">
        <v>9</v>
      </c>
      <c r="D185" t="s">
        <v>10</v>
      </c>
      <c r="E185">
        <v>4</v>
      </c>
      <c r="F185">
        <v>23.17</v>
      </c>
      <c r="G185">
        <v>6.5</v>
      </c>
    </row>
    <row r="186" spans="1:7" x14ac:dyDescent="0.35">
      <c r="A186" t="s">
        <v>11</v>
      </c>
      <c r="B186" t="s">
        <v>22</v>
      </c>
      <c r="C186" t="s">
        <v>9</v>
      </c>
      <c r="D186" t="s">
        <v>10</v>
      </c>
      <c r="E186">
        <v>2</v>
      </c>
      <c r="F186">
        <v>40.549999999999997</v>
      </c>
      <c r="G186">
        <v>3</v>
      </c>
    </row>
    <row r="187" spans="1:7" x14ac:dyDescent="0.35">
      <c r="A187" t="s">
        <v>11</v>
      </c>
      <c r="B187" t="s">
        <v>8</v>
      </c>
      <c r="C187" t="s">
        <v>9</v>
      </c>
      <c r="D187" t="s">
        <v>10</v>
      </c>
      <c r="E187">
        <v>5</v>
      </c>
      <c r="F187">
        <v>20.69</v>
      </c>
      <c r="G187">
        <v>5</v>
      </c>
    </row>
    <row r="188" spans="1:7" x14ac:dyDescent="0.35">
      <c r="A188" t="s">
        <v>7</v>
      </c>
      <c r="B188" t="s">
        <v>22</v>
      </c>
      <c r="C188" t="s">
        <v>9</v>
      </c>
      <c r="D188" t="s">
        <v>10</v>
      </c>
      <c r="E188">
        <v>3</v>
      </c>
      <c r="F188">
        <v>20.9</v>
      </c>
      <c r="G188">
        <v>3.5</v>
      </c>
    </row>
    <row r="189" spans="1:7" x14ac:dyDescent="0.35">
      <c r="A189" t="s">
        <v>11</v>
      </c>
      <c r="B189" t="s">
        <v>22</v>
      </c>
      <c r="C189" t="s">
        <v>9</v>
      </c>
      <c r="D189" t="s">
        <v>10</v>
      </c>
      <c r="E189">
        <v>5</v>
      </c>
      <c r="F189">
        <v>30.46</v>
      </c>
      <c r="G189">
        <v>2</v>
      </c>
    </row>
    <row r="190" spans="1:7" x14ac:dyDescent="0.35">
      <c r="A190" t="s">
        <v>7</v>
      </c>
      <c r="B190" t="s">
        <v>22</v>
      </c>
      <c r="C190" t="s">
        <v>9</v>
      </c>
      <c r="D190" t="s">
        <v>10</v>
      </c>
      <c r="E190">
        <v>3</v>
      </c>
      <c r="F190">
        <v>18.149999999999999</v>
      </c>
      <c r="G190">
        <v>3.5</v>
      </c>
    </row>
    <row r="191" spans="1:7" x14ac:dyDescent="0.35">
      <c r="A191" t="s">
        <v>11</v>
      </c>
      <c r="B191" t="s">
        <v>22</v>
      </c>
      <c r="C191" t="s">
        <v>9</v>
      </c>
      <c r="D191" t="s">
        <v>10</v>
      </c>
      <c r="E191">
        <v>3</v>
      </c>
      <c r="F191">
        <v>23.1</v>
      </c>
      <c r="G191">
        <v>4</v>
      </c>
    </row>
    <row r="192" spans="1:7" x14ac:dyDescent="0.35">
      <c r="A192" t="s">
        <v>11</v>
      </c>
      <c r="B192" t="s">
        <v>22</v>
      </c>
      <c r="C192" t="s">
        <v>9</v>
      </c>
      <c r="D192" t="s">
        <v>10</v>
      </c>
      <c r="E192">
        <v>2</v>
      </c>
      <c r="F192">
        <v>15.69</v>
      </c>
      <c r="G192">
        <v>1.5</v>
      </c>
    </row>
    <row r="193" spans="1:7" x14ac:dyDescent="0.35">
      <c r="A193" t="s">
        <v>7</v>
      </c>
      <c r="B193" t="s">
        <v>22</v>
      </c>
      <c r="C193" t="s">
        <v>23</v>
      </c>
      <c r="D193" t="s">
        <v>24</v>
      </c>
      <c r="E193">
        <v>2</v>
      </c>
      <c r="F193">
        <v>19.809999999999999</v>
      </c>
      <c r="G193">
        <v>4.1900000000000004</v>
      </c>
    </row>
    <row r="194" spans="1:7" x14ac:dyDescent="0.35">
      <c r="A194" t="s">
        <v>11</v>
      </c>
      <c r="B194" t="s">
        <v>22</v>
      </c>
      <c r="C194" t="s">
        <v>23</v>
      </c>
      <c r="D194" t="s">
        <v>24</v>
      </c>
      <c r="E194">
        <v>2</v>
      </c>
      <c r="F194">
        <v>28.44</v>
      </c>
      <c r="G194">
        <v>2.56</v>
      </c>
    </row>
    <row r="195" spans="1:7" x14ac:dyDescent="0.35">
      <c r="A195" t="s">
        <v>11</v>
      </c>
      <c r="B195" t="s">
        <v>22</v>
      </c>
      <c r="C195" t="s">
        <v>23</v>
      </c>
      <c r="D195" t="s">
        <v>24</v>
      </c>
      <c r="E195">
        <v>2</v>
      </c>
      <c r="F195">
        <v>15.48</v>
      </c>
      <c r="G195">
        <v>2.02</v>
      </c>
    </row>
    <row r="196" spans="1:7" x14ac:dyDescent="0.35">
      <c r="A196" t="s">
        <v>11</v>
      </c>
      <c r="B196" t="s">
        <v>22</v>
      </c>
      <c r="C196" t="s">
        <v>23</v>
      </c>
      <c r="D196" t="s">
        <v>24</v>
      </c>
      <c r="E196">
        <v>2</v>
      </c>
      <c r="F196">
        <v>16.579999999999998</v>
      </c>
      <c r="G196">
        <v>4</v>
      </c>
    </row>
    <row r="197" spans="1:7" x14ac:dyDescent="0.35">
      <c r="A197" t="s">
        <v>11</v>
      </c>
      <c r="B197" t="s">
        <v>8</v>
      </c>
      <c r="C197" t="s">
        <v>23</v>
      </c>
      <c r="D197" t="s">
        <v>24</v>
      </c>
      <c r="E197">
        <v>2</v>
      </c>
      <c r="F197">
        <v>7.56</v>
      </c>
      <c r="G197">
        <v>1.44</v>
      </c>
    </row>
    <row r="198" spans="1:7" x14ac:dyDescent="0.35">
      <c r="A198" t="s">
        <v>11</v>
      </c>
      <c r="B198" t="s">
        <v>22</v>
      </c>
      <c r="C198" t="s">
        <v>23</v>
      </c>
      <c r="D198" t="s">
        <v>24</v>
      </c>
      <c r="E198">
        <v>2</v>
      </c>
      <c r="F198">
        <v>10.34</v>
      </c>
      <c r="G198">
        <v>2</v>
      </c>
    </row>
    <row r="199" spans="1:7" x14ac:dyDescent="0.35">
      <c r="A199" t="s">
        <v>7</v>
      </c>
      <c r="B199" t="s">
        <v>22</v>
      </c>
      <c r="C199" t="s">
        <v>23</v>
      </c>
      <c r="D199" t="s">
        <v>24</v>
      </c>
      <c r="E199">
        <v>4</v>
      </c>
      <c r="F199">
        <v>43.11</v>
      </c>
      <c r="G199">
        <v>5</v>
      </c>
    </row>
    <row r="200" spans="1:7" x14ac:dyDescent="0.35">
      <c r="A200" t="s">
        <v>7</v>
      </c>
      <c r="B200" t="s">
        <v>22</v>
      </c>
      <c r="C200" t="s">
        <v>23</v>
      </c>
      <c r="D200" t="s">
        <v>24</v>
      </c>
      <c r="E200">
        <v>2</v>
      </c>
      <c r="F200">
        <v>13</v>
      </c>
      <c r="G200">
        <v>2</v>
      </c>
    </row>
    <row r="201" spans="1:7" x14ac:dyDescent="0.35">
      <c r="A201" t="s">
        <v>11</v>
      </c>
      <c r="B201" t="s">
        <v>22</v>
      </c>
      <c r="C201" t="s">
        <v>23</v>
      </c>
      <c r="D201" t="s">
        <v>24</v>
      </c>
      <c r="E201">
        <v>2</v>
      </c>
      <c r="F201">
        <v>13.51</v>
      </c>
      <c r="G201">
        <v>2</v>
      </c>
    </row>
    <row r="202" spans="1:7" x14ac:dyDescent="0.35">
      <c r="A202" t="s">
        <v>11</v>
      </c>
      <c r="B202" t="s">
        <v>22</v>
      </c>
      <c r="C202" t="s">
        <v>23</v>
      </c>
      <c r="D202" t="s">
        <v>24</v>
      </c>
      <c r="E202">
        <v>3</v>
      </c>
      <c r="F202">
        <v>18.71</v>
      </c>
      <c r="G202">
        <v>4</v>
      </c>
    </row>
    <row r="203" spans="1:7" x14ac:dyDescent="0.35">
      <c r="A203" t="s">
        <v>7</v>
      </c>
      <c r="B203" t="s">
        <v>22</v>
      </c>
      <c r="C203" t="s">
        <v>23</v>
      </c>
      <c r="D203" t="s">
        <v>24</v>
      </c>
      <c r="E203">
        <v>2</v>
      </c>
      <c r="F203">
        <v>12.74</v>
      </c>
      <c r="G203">
        <v>2.0099999999999998</v>
      </c>
    </row>
    <row r="204" spans="1:7" x14ac:dyDescent="0.35">
      <c r="A204" t="s">
        <v>7</v>
      </c>
      <c r="B204" t="s">
        <v>22</v>
      </c>
      <c r="C204" t="s">
        <v>23</v>
      </c>
      <c r="D204" t="s">
        <v>24</v>
      </c>
      <c r="E204">
        <v>2</v>
      </c>
      <c r="F204">
        <v>13</v>
      </c>
      <c r="G204">
        <v>2</v>
      </c>
    </row>
    <row r="205" spans="1:7" x14ac:dyDescent="0.35">
      <c r="A205" t="s">
        <v>7</v>
      </c>
      <c r="B205" t="s">
        <v>22</v>
      </c>
      <c r="C205" t="s">
        <v>23</v>
      </c>
      <c r="D205" t="s">
        <v>24</v>
      </c>
      <c r="E205">
        <v>2</v>
      </c>
      <c r="F205">
        <v>16.399999999999999</v>
      </c>
      <c r="G205">
        <v>2.5</v>
      </c>
    </row>
    <row r="206" spans="1:7" x14ac:dyDescent="0.35">
      <c r="A206" t="s">
        <v>11</v>
      </c>
      <c r="B206" t="s">
        <v>22</v>
      </c>
      <c r="C206" t="s">
        <v>23</v>
      </c>
      <c r="D206" t="s">
        <v>24</v>
      </c>
      <c r="E206">
        <v>4</v>
      </c>
      <c r="F206">
        <v>20.53</v>
      </c>
      <c r="G206">
        <v>4</v>
      </c>
    </row>
    <row r="207" spans="1:7" x14ac:dyDescent="0.35">
      <c r="A207" t="s">
        <v>7</v>
      </c>
      <c r="B207" t="s">
        <v>22</v>
      </c>
      <c r="C207" t="s">
        <v>23</v>
      </c>
      <c r="D207" t="s">
        <v>24</v>
      </c>
      <c r="E207">
        <v>3</v>
      </c>
      <c r="F207">
        <v>16.47</v>
      </c>
      <c r="G207">
        <v>3.23</v>
      </c>
    </row>
    <row r="208" spans="1:7" x14ac:dyDescent="0.35">
      <c r="A208" t="s">
        <v>11</v>
      </c>
      <c r="B208" t="s">
        <v>22</v>
      </c>
      <c r="C208" t="s">
        <v>21</v>
      </c>
      <c r="D208" t="s">
        <v>10</v>
      </c>
      <c r="E208">
        <v>3</v>
      </c>
      <c r="F208">
        <v>26.59</v>
      </c>
      <c r="G208">
        <v>3.41</v>
      </c>
    </row>
    <row r="209" spans="1:7" x14ac:dyDescent="0.35">
      <c r="A209" t="s">
        <v>11</v>
      </c>
      <c r="B209" t="s">
        <v>22</v>
      </c>
      <c r="C209" t="s">
        <v>21</v>
      </c>
      <c r="D209" t="s">
        <v>10</v>
      </c>
      <c r="E209">
        <v>4</v>
      </c>
      <c r="F209">
        <v>38.729999999999997</v>
      </c>
      <c r="G209">
        <v>3</v>
      </c>
    </row>
    <row r="210" spans="1:7" x14ac:dyDescent="0.35">
      <c r="A210" t="s">
        <v>11</v>
      </c>
      <c r="B210" t="s">
        <v>22</v>
      </c>
      <c r="C210" t="s">
        <v>21</v>
      </c>
      <c r="D210" t="s">
        <v>10</v>
      </c>
      <c r="E210">
        <v>2</v>
      </c>
      <c r="F210">
        <v>24.27</v>
      </c>
      <c r="G210">
        <v>2.0299999999999998</v>
      </c>
    </row>
    <row r="211" spans="1:7" x14ac:dyDescent="0.35">
      <c r="A211" t="s">
        <v>7</v>
      </c>
      <c r="B211" t="s">
        <v>22</v>
      </c>
      <c r="C211" t="s">
        <v>21</v>
      </c>
      <c r="D211" t="s">
        <v>10</v>
      </c>
      <c r="E211">
        <v>2</v>
      </c>
      <c r="F211">
        <v>12.76</v>
      </c>
      <c r="G211">
        <v>2.23</v>
      </c>
    </row>
    <row r="212" spans="1:7" x14ac:dyDescent="0.35">
      <c r="A212" t="s">
        <v>11</v>
      </c>
      <c r="B212" t="s">
        <v>22</v>
      </c>
      <c r="C212" t="s">
        <v>21</v>
      </c>
      <c r="D212" t="s">
        <v>10</v>
      </c>
      <c r="E212">
        <v>3</v>
      </c>
      <c r="F212">
        <v>30.06</v>
      </c>
      <c r="G212">
        <v>2</v>
      </c>
    </row>
    <row r="213" spans="1:7" x14ac:dyDescent="0.35">
      <c r="A213" t="s">
        <v>11</v>
      </c>
      <c r="B213" t="s">
        <v>22</v>
      </c>
      <c r="C213" t="s">
        <v>21</v>
      </c>
      <c r="D213" t="s">
        <v>10</v>
      </c>
      <c r="E213">
        <v>4</v>
      </c>
      <c r="F213">
        <v>25.89</v>
      </c>
      <c r="G213">
        <v>5.16</v>
      </c>
    </row>
    <row r="214" spans="1:7" x14ac:dyDescent="0.35">
      <c r="A214" t="s">
        <v>11</v>
      </c>
      <c r="B214" t="s">
        <v>8</v>
      </c>
      <c r="C214" t="s">
        <v>21</v>
      </c>
      <c r="D214" t="s">
        <v>10</v>
      </c>
      <c r="E214">
        <v>4</v>
      </c>
      <c r="F214">
        <v>48.33</v>
      </c>
      <c r="G214">
        <v>9</v>
      </c>
    </row>
    <row r="215" spans="1:7" x14ac:dyDescent="0.35">
      <c r="A215" t="s">
        <v>7</v>
      </c>
      <c r="B215" t="s">
        <v>22</v>
      </c>
      <c r="C215" t="s">
        <v>21</v>
      </c>
      <c r="D215" t="s">
        <v>10</v>
      </c>
      <c r="E215">
        <v>2</v>
      </c>
      <c r="F215">
        <v>13.27</v>
      </c>
      <c r="G215">
        <v>2.5</v>
      </c>
    </row>
    <row r="216" spans="1:7" x14ac:dyDescent="0.35">
      <c r="A216" t="s">
        <v>7</v>
      </c>
      <c r="B216" t="s">
        <v>22</v>
      </c>
      <c r="C216" t="s">
        <v>21</v>
      </c>
      <c r="D216" t="s">
        <v>10</v>
      </c>
      <c r="E216">
        <v>3</v>
      </c>
      <c r="F216">
        <v>28.17</v>
      </c>
      <c r="G216">
        <v>6.5</v>
      </c>
    </row>
    <row r="217" spans="1:7" x14ac:dyDescent="0.35">
      <c r="A217" t="s">
        <v>7</v>
      </c>
      <c r="B217" t="s">
        <v>22</v>
      </c>
      <c r="C217" t="s">
        <v>21</v>
      </c>
      <c r="D217" t="s">
        <v>10</v>
      </c>
      <c r="E217">
        <v>2</v>
      </c>
      <c r="F217">
        <v>12.9</v>
      </c>
      <c r="G217">
        <v>1.1000000000000001</v>
      </c>
    </row>
    <row r="218" spans="1:7" x14ac:dyDescent="0.35">
      <c r="A218" t="s">
        <v>11</v>
      </c>
      <c r="B218" t="s">
        <v>22</v>
      </c>
      <c r="C218" t="s">
        <v>21</v>
      </c>
      <c r="D218" t="s">
        <v>10</v>
      </c>
      <c r="E218">
        <v>5</v>
      </c>
      <c r="F218">
        <v>28.15</v>
      </c>
      <c r="G218">
        <v>3</v>
      </c>
    </row>
    <row r="219" spans="1:7" x14ac:dyDescent="0.35">
      <c r="A219" t="s">
        <v>11</v>
      </c>
      <c r="B219" t="s">
        <v>22</v>
      </c>
      <c r="C219" t="s">
        <v>21</v>
      </c>
      <c r="D219" t="s">
        <v>10</v>
      </c>
      <c r="E219">
        <v>2</v>
      </c>
      <c r="F219">
        <v>11.59</v>
      </c>
      <c r="G219">
        <v>1.5</v>
      </c>
    </row>
    <row r="220" spans="1:7" x14ac:dyDescent="0.35">
      <c r="A220" t="s">
        <v>11</v>
      </c>
      <c r="B220" t="s">
        <v>22</v>
      </c>
      <c r="C220" t="s">
        <v>21</v>
      </c>
      <c r="D220" t="s">
        <v>10</v>
      </c>
      <c r="E220">
        <v>2</v>
      </c>
      <c r="F220">
        <v>7.74</v>
      </c>
      <c r="G220">
        <v>1.44</v>
      </c>
    </row>
    <row r="221" spans="1:7" x14ac:dyDescent="0.35">
      <c r="A221" t="s">
        <v>7</v>
      </c>
      <c r="B221" t="s">
        <v>22</v>
      </c>
      <c r="C221" t="s">
        <v>21</v>
      </c>
      <c r="D221" t="s">
        <v>10</v>
      </c>
      <c r="E221">
        <v>4</v>
      </c>
      <c r="F221">
        <v>30.14</v>
      </c>
      <c r="G221">
        <v>3.09</v>
      </c>
    </row>
    <row r="222" spans="1:7" x14ac:dyDescent="0.35">
      <c r="A222" t="s">
        <v>11</v>
      </c>
      <c r="B222" t="s">
        <v>22</v>
      </c>
      <c r="C222" t="s">
        <v>25</v>
      </c>
      <c r="D222" t="s">
        <v>24</v>
      </c>
      <c r="E222">
        <v>2</v>
      </c>
      <c r="F222">
        <v>12.16</v>
      </c>
      <c r="G222">
        <v>2.2000000000000002</v>
      </c>
    </row>
    <row r="223" spans="1:7" x14ac:dyDescent="0.35">
      <c r="A223" t="s">
        <v>7</v>
      </c>
      <c r="B223" t="s">
        <v>22</v>
      </c>
      <c r="C223" t="s">
        <v>25</v>
      </c>
      <c r="D223" t="s">
        <v>24</v>
      </c>
      <c r="E223">
        <v>2</v>
      </c>
      <c r="F223">
        <v>13.42</v>
      </c>
      <c r="G223">
        <v>3.48</v>
      </c>
    </row>
    <row r="224" spans="1:7" x14ac:dyDescent="0.35">
      <c r="A224" t="s">
        <v>11</v>
      </c>
      <c r="B224" t="s">
        <v>22</v>
      </c>
      <c r="C224" t="s">
        <v>25</v>
      </c>
      <c r="D224" t="s">
        <v>24</v>
      </c>
      <c r="E224">
        <v>1</v>
      </c>
      <c r="F224">
        <v>8.58</v>
      </c>
      <c r="G224">
        <v>1.92</v>
      </c>
    </row>
    <row r="225" spans="1:7" x14ac:dyDescent="0.35">
      <c r="A225" t="s">
        <v>7</v>
      </c>
      <c r="B225" t="s">
        <v>8</v>
      </c>
      <c r="C225" t="s">
        <v>25</v>
      </c>
      <c r="D225" t="s">
        <v>24</v>
      </c>
      <c r="E225">
        <v>3</v>
      </c>
      <c r="F225">
        <v>15.98</v>
      </c>
      <c r="G225">
        <v>3</v>
      </c>
    </row>
    <row r="226" spans="1:7" x14ac:dyDescent="0.35">
      <c r="A226" t="s">
        <v>11</v>
      </c>
      <c r="B226" t="s">
        <v>22</v>
      </c>
      <c r="C226" t="s">
        <v>25</v>
      </c>
      <c r="D226" t="s">
        <v>24</v>
      </c>
      <c r="E226">
        <v>2</v>
      </c>
      <c r="F226">
        <v>13.42</v>
      </c>
      <c r="G226">
        <v>1.58</v>
      </c>
    </row>
    <row r="227" spans="1:7" x14ac:dyDescent="0.35">
      <c r="A227" t="s">
        <v>7</v>
      </c>
      <c r="B227" t="s">
        <v>22</v>
      </c>
      <c r="C227" t="s">
        <v>25</v>
      </c>
      <c r="D227" t="s">
        <v>24</v>
      </c>
      <c r="E227">
        <v>2</v>
      </c>
      <c r="F227">
        <v>16.27</v>
      </c>
      <c r="G227">
        <v>2.5</v>
      </c>
    </row>
    <row r="228" spans="1:7" x14ac:dyDescent="0.35">
      <c r="A228" t="s">
        <v>7</v>
      </c>
      <c r="B228" t="s">
        <v>22</v>
      </c>
      <c r="C228" t="s">
        <v>25</v>
      </c>
      <c r="D228" t="s">
        <v>24</v>
      </c>
      <c r="E228">
        <v>2</v>
      </c>
      <c r="F228">
        <v>10.09</v>
      </c>
      <c r="G228">
        <v>2</v>
      </c>
    </row>
    <row r="229" spans="1:7" x14ac:dyDescent="0.35">
      <c r="A229" t="s">
        <v>11</v>
      </c>
      <c r="B229" t="s">
        <v>8</v>
      </c>
      <c r="C229" t="s">
        <v>21</v>
      </c>
      <c r="D229" t="s">
        <v>10</v>
      </c>
      <c r="E229">
        <v>4</v>
      </c>
      <c r="F229">
        <v>20.45</v>
      </c>
      <c r="G229">
        <v>3</v>
      </c>
    </row>
    <row r="230" spans="1:7" x14ac:dyDescent="0.35">
      <c r="A230" t="s">
        <v>11</v>
      </c>
      <c r="B230" t="s">
        <v>8</v>
      </c>
      <c r="C230" t="s">
        <v>21</v>
      </c>
      <c r="D230" t="s">
        <v>10</v>
      </c>
      <c r="E230">
        <v>2</v>
      </c>
      <c r="F230">
        <v>13.28</v>
      </c>
      <c r="G230">
        <v>2.72</v>
      </c>
    </row>
    <row r="231" spans="1:7" x14ac:dyDescent="0.35">
      <c r="A231" t="s">
        <v>7</v>
      </c>
      <c r="B231" t="s">
        <v>22</v>
      </c>
      <c r="C231" t="s">
        <v>21</v>
      </c>
      <c r="D231" t="s">
        <v>10</v>
      </c>
      <c r="E231">
        <v>2</v>
      </c>
      <c r="F231">
        <v>22.12</v>
      </c>
      <c r="G231">
        <v>2.88</v>
      </c>
    </row>
    <row r="232" spans="1:7" x14ac:dyDescent="0.35">
      <c r="A232" t="s">
        <v>11</v>
      </c>
      <c r="B232" t="s">
        <v>22</v>
      </c>
      <c r="C232" t="s">
        <v>21</v>
      </c>
      <c r="D232" t="s">
        <v>10</v>
      </c>
      <c r="E232">
        <v>4</v>
      </c>
      <c r="F232">
        <v>24.01</v>
      </c>
      <c r="G232">
        <v>2</v>
      </c>
    </row>
    <row r="233" spans="1:7" x14ac:dyDescent="0.35">
      <c r="A233" t="s">
        <v>11</v>
      </c>
      <c r="B233" t="s">
        <v>22</v>
      </c>
      <c r="C233" t="s">
        <v>21</v>
      </c>
      <c r="D233" t="s">
        <v>10</v>
      </c>
      <c r="E233">
        <v>3</v>
      </c>
      <c r="F233">
        <v>15.69</v>
      </c>
      <c r="G233">
        <v>3</v>
      </c>
    </row>
    <row r="234" spans="1:7" x14ac:dyDescent="0.35">
      <c r="A234" t="s">
        <v>11</v>
      </c>
      <c r="B234" t="s">
        <v>8</v>
      </c>
      <c r="C234" t="s">
        <v>21</v>
      </c>
      <c r="D234" t="s">
        <v>10</v>
      </c>
      <c r="E234">
        <v>2</v>
      </c>
      <c r="F234">
        <v>11.61</v>
      </c>
      <c r="G234">
        <v>3.39</v>
      </c>
    </row>
    <row r="235" spans="1:7" x14ac:dyDescent="0.35">
      <c r="A235" t="s">
        <v>11</v>
      </c>
      <c r="B235" t="s">
        <v>8</v>
      </c>
      <c r="C235" t="s">
        <v>21</v>
      </c>
      <c r="D235" t="s">
        <v>10</v>
      </c>
      <c r="E235">
        <v>2</v>
      </c>
      <c r="F235">
        <v>10.77</v>
      </c>
      <c r="G235">
        <v>1.47</v>
      </c>
    </row>
    <row r="236" spans="1:7" x14ac:dyDescent="0.35">
      <c r="A236" t="s">
        <v>11</v>
      </c>
      <c r="B236" t="s">
        <v>22</v>
      </c>
      <c r="C236" t="s">
        <v>21</v>
      </c>
      <c r="D236" t="s">
        <v>10</v>
      </c>
      <c r="E236">
        <v>2</v>
      </c>
      <c r="F236">
        <v>15.53</v>
      </c>
      <c r="G236">
        <v>3</v>
      </c>
    </row>
    <row r="237" spans="1:7" x14ac:dyDescent="0.35">
      <c r="A237" t="s">
        <v>11</v>
      </c>
      <c r="B237" t="s">
        <v>8</v>
      </c>
      <c r="C237" t="s">
        <v>21</v>
      </c>
      <c r="D237" t="s">
        <v>10</v>
      </c>
      <c r="E237">
        <v>2</v>
      </c>
      <c r="F237">
        <v>10.07</v>
      </c>
      <c r="G237">
        <v>1.25</v>
      </c>
    </row>
    <row r="238" spans="1:7" x14ac:dyDescent="0.35">
      <c r="A238" t="s">
        <v>11</v>
      </c>
      <c r="B238" t="s">
        <v>22</v>
      </c>
      <c r="C238" t="s">
        <v>21</v>
      </c>
      <c r="D238" t="s">
        <v>10</v>
      </c>
      <c r="E238">
        <v>2</v>
      </c>
      <c r="F238">
        <v>12.6</v>
      </c>
      <c r="G238">
        <v>1</v>
      </c>
    </row>
    <row r="239" spans="1:7" x14ac:dyDescent="0.35">
      <c r="A239" t="s">
        <v>11</v>
      </c>
      <c r="B239" t="s">
        <v>22</v>
      </c>
      <c r="C239" t="s">
        <v>21</v>
      </c>
      <c r="D239" t="s">
        <v>10</v>
      </c>
      <c r="E239">
        <v>2</v>
      </c>
      <c r="F239">
        <v>32.83</v>
      </c>
      <c r="G239">
        <v>1.17</v>
      </c>
    </row>
    <row r="240" spans="1:7" x14ac:dyDescent="0.35">
      <c r="A240" t="s">
        <v>7</v>
      </c>
      <c r="B240" t="s">
        <v>8</v>
      </c>
      <c r="C240" t="s">
        <v>21</v>
      </c>
      <c r="D240" t="s">
        <v>10</v>
      </c>
      <c r="E240">
        <v>3</v>
      </c>
      <c r="F240">
        <v>35.83</v>
      </c>
      <c r="G240">
        <v>4.67</v>
      </c>
    </row>
    <row r="241" spans="1:7" x14ac:dyDescent="0.35">
      <c r="A241" t="s">
        <v>11</v>
      </c>
      <c r="B241" t="s">
        <v>8</v>
      </c>
      <c r="C241" t="s">
        <v>21</v>
      </c>
      <c r="D241" t="s">
        <v>10</v>
      </c>
      <c r="E241">
        <v>3</v>
      </c>
      <c r="F241">
        <v>29.03</v>
      </c>
      <c r="G241">
        <v>5.92</v>
      </c>
    </row>
    <row r="242" spans="1:7" x14ac:dyDescent="0.35">
      <c r="A242" t="s">
        <v>7</v>
      </c>
      <c r="B242" t="s">
        <v>22</v>
      </c>
      <c r="C242" t="s">
        <v>21</v>
      </c>
      <c r="D242" t="s">
        <v>10</v>
      </c>
      <c r="E242">
        <v>2</v>
      </c>
      <c r="F242">
        <v>27.18</v>
      </c>
      <c r="G242">
        <v>2</v>
      </c>
    </row>
    <row r="243" spans="1:7" x14ac:dyDescent="0.35">
      <c r="A243" t="s">
        <v>11</v>
      </c>
      <c r="B243" t="s">
        <v>22</v>
      </c>
      <c r="C243" t="s">
        <v>21</v>
      </c>
      <c r="D243" t="s">
        <v>10</v>
      </c>
      <c r="E243">
        <v>2</v>
      </c>
      <c r="F243">
        <v>22.67</v>
      </c>
      <c r="G243">
        <v>2</v>
      </c>
    </row>
    <row r="244" spans="1:7" x14ac:dyDescent="0.35">
      <c r="A244" t="s">
        <v>11</v>
      </c>
      <c r="B244" t="s">
        <v>8</v>
      </c>
      <c r="C244" t="s">
        <v>21</v>
      </c>
      <c r="D244" t="s">
        <v>10</v>
      </c>
      <c r="E244">
        <v>2</v>
      </c>
      <c r="F244">
        <v>17.82</v>
      </c>
      <c r="G244">
        <v>1.75</v>
      </c>
    </row>
    <row r="245" spans="1:7" x14ac:dyDescent="0.35">
      <c r="A245" t="s">
        <v>7</v>
      </c>
      <c r="B245" t="s">
        <v>8</v>
      </c>
      <c r="C245" t="s">
        <v>23</v>
      </c>
      <c r="D245" t="s">
        <v>10</v>
      </c>
      <c r="E245">
        <v>2</v>
      </c>
      <c r="F245">
        <v>18.78</v>
      </c>
      <c r="G24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ECBDB-8509-405F-A60D-E1487E4AA1AA}">
  <dimension ref="A1:K244"/>
  <sheetViews>
    <sheetView workbookViewId="0">
      <selection activeCell="G8" sqref="G8"/>
    </sheetView>
  </sheetViews>
  <sheetFormatPr defaultColWidth="13.453125" defaultRowHeight="14.5" x14ac:dyDescent="0.35"/>
  <cols>
    <col min="11" max="11" width="46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1" x14ac:dyDescent="0.35">
      <c r="A2" t="s">
        <v>7</v>
      </c>
      <c r="B2" t="s">
        <v>8</v>
      </c>
      <c r="C2" t="s">
        <v>9</v>
      </c>
      <c r="D2" t="s">
        <v>10</v>
      </c>
      <c r="E2">
        <v>2</v>
      </c>
      <c r="F2">
        <v>16.989999999999998</v>
      </c>
      <c r="G2">
        <v>1.01</v>
      </c>
    </row>
    <row r="3" spans="1:11" x14ac:dyDescent="0.35">
      <c r="A3" t="s">
        <v>11</v>
      </c>
      <c r="B3" t="s">
        <v>8</v>
      </c>
      <c r="C3" t="s">
        <v>9</v>
      </c>
      <c r="D3" t="s">
        <v>10</v>
      </c>
      <c r="E3">
        <v>3</v>
      </c>
      <c r="F3">
        <v>10.34</v>
      </c>
      <c r="G3">
        <v>1.66</v>
      </c>
      <c r="J3" s="1" t="s">
        <v>12</v>
      </c>
      <c r="K3" s="1" t="s">
        <v>13</v>
      </c>
    </row>
    <row r="4" spans="1:11" x14ac:dyDescent="0.35">
      <c r="A4" t="s">
        <v>11</v>
      </c>
      <c r="B4" t="s">
        <v>8</v>
      </c>
      <c r="C4" t="s">
        <v>9</v>
      </c>
      <c r="D4" t="s">
        <v>10</v>
      </c>
      <c r="E4">
        <v>3</v>
      </c>
      <c r="F4">
        <v>21.01</v>
      </c>
      <c r="G4">
        <v>3.5</v>
      </c>
      <c r="J4" s="1" t="s">
        <v>1</v>
      </c>
      <c r="K4" s="1" t="s">
        <v>14</v>
      </c>
    </row>
    <row r="5" spans="1:11" x14ac:dyDescent="0.35">
      <c r="A5" t="s">
        <v>11</v>
      </c>
      <c r="B5" t="s">
        <v>8</v>
      </c>
      <c r="C5" t="s">
        <v>9</v>
      </c>
      <c r="D5" t="s">
        <v>10</v>
      </c>
      <c r="E5">
        <v>2</v>
      </c>
      <c r="F5">
        <v>23.68</v>
      </c>
      <c r="G5">
        <v>3.31</v>
      </c>
      <c r="J5" s="1" t="s">
        <v>2</v>
      </c>
      <c r="K5" s="1" t="s">
        <v>15</v>
      </c>
    </row>
    <row r="6" spans="1:11" x14ac:dyDescent="0.35">
      <c r="A6" t="s">
        <v>7</v>
      </c>
      <c r="B6" t="s">
        <v>8</v>
      </c>
      <c r="C6" t="s">
        <v>9</v>
      </c>
      <c r="D6" t="s">
        <v>10</v>
      </c>
      <c r="E6">
        <v>4</v>
      </c>
      <c r="F6">
        <v>24.59</v>
      </c>
      <c r="G6">
        <v>3.61</v>
      </c>
      <c r="J6" s="1" t="s">
        <v>3</v>
      </c>
      <c r="K6" s="1" t="s">
        <v>16</v>
      </c>
    </row>
    <row r="7" spans="1:11" x14ac:dyDescent="0.35">
      <c r="A7" t="s">
        <v>11</v>
      </c>
      <c r="B7" t="s">
        <v>8</v>
      </c>
      <c r="C7" t="s">
        <v>9</v>
      </c>
      <c r="D7" t="s">
        <v>10</v>
      </c>
      <c r="E7">
        <v>4</v>
      </c>
      <c r="F7">
        <v>25.29</v>
      </c>
      <c r="G7">
        <v>4.71</v>
      </c>
      <c r="J7" s="1" t="s">
        <v>4</v>
      </c>
      <c r="K7" s="1" t="s">
        <v>17</v>
      </c>
    </row>
    <row r="8" spans="1:11" x14ac:dyDescent="0.35">
      <c r="A8" t="s">
        <v>11</v>
      </c>
      <c r="B8" t="s">
        <v>8</v>
      </c>
      <c r="C8" t="s">
        <v>9</v>
      </c>
      <c r="D8" t="s">
        <v>10</v>
      </c>
      <c r="E8">
        <v>2</v>
      </c>
      <c r="F8">
        <v>8.77</v>
      </c>
      <c r="G8">
        <v>2</v>
      </c>
      <c r="J8" s="1" t="s">
        <v>18</v>
      </c>
      <c r="K8" s="1" t="s">
        <v>19</v>
      </c>
    </row>
    <row r="9" spans="1:11" x14ac:dyDescent="0.35">
      <c r="A9" t="s">
        <v>11</v>
      </c>
      <c r="B9" t="s">
        <v>8</v>
      </c>
      <c r="C9" t="s">
        <v>9</v>
      </c>
      <c r="D9" t="s">
        <v>10</v>
      </c>
      <c r="E9">
        <v>4</v>
      </c>
      <c r="F9">
        <v>26.88</v>
      </c>
      <c r="G9">
        <v>3.12</v>
      </c>
      <c r="J9" s="1" t="s">
        <v>6</v>
      </c>
      <c r="K9" s="1" t="s">
        <v>20</v>
      </c>
    </row>
    <row r="10" spans="1:11" x14ac:dyDescent="0.35">
      <c r="A10" t="s">
        <v>11</v>
      </c>
      <c r="B10" t="s">
        <v>8</v>
      </c>
      <c r="C10" t="s">
        <v>9</v>
      </c>
      <c r="D10" t="s">
        <v>10</v>
      </c>
      <c r="E10">
        <v>2</v>
      </c>
      <c r="F10">
        <v>15.04</v>
      </c>
      <c r="G10">
        <v>1.96</v>
      </c>
    </row>
    <row r="11" spans="1:11" x14ac:dyDescent="0.35">
      <c r="A11" t="s">
        <v>11</v>
      </c>
      <c r="B11" t="s">
        <v>8</v>
      </c>
      <c r="C11" t="s">
        <v>9</v>
      </c>
      <c r="D11" t="s">
        <v>10</v>
      </c>
      <c r="E11">
        <v>2</v>
      </c>
      <c r="F11">
        <v>14.78</v>
      </c>
      <c r="G11">
        <v>3.23</v>
      </c>
    </row>
    <row r="12" spans="1:11" x14ac:dyDescent="0.35">
      <c r="A12" t="s">
        <v>11</v>
      </c>
      <c r="B12" t="s">
        <v>8</v>
      </c>
      <c r="C12" t="s">
        <v>9</v>
      </c>
      <c r="D12" t="s">
        <v>10</v>
      </c>
      <c r="E12">
        <v>2</v>
      </c>
      <c r="F12">
        <v>10.27</v>
      </c>
      <c r="G12">
        <v>1.71</v>
      </c>
    </row>
    <row r="13" spans="1:11" x14ac:dyDescent="0.35">
      <c r="A13" t="s">
        <v>7</v>
      </c>
      <c r="B13" t="s">
        <v>8</v>
      </c>
      <c r="C13" t="s">
        <v>9</v>
      </c>
      <c r="D13" t="s">
        <v>10</v>
      </c>
      <c r="E13">
        <v>4</v>
      </c>
      <c r="F13">
        <v>35.26</v>
      </c>
      <c r="G13">
        <v>5</v>
      </c>
    </row>
    <row r="14" spans="1:11" x14ac:dyDescent="0.35">
      <c r="A14" t="s">
        <v>11</v>
      </c>
      <c r="B14" t="s">
        <v>8</v>
      </c>
      <c r="C14" t="s">
        <v>9</v>
      </c>
      <c r="D14" t="s">
        <v>10</v>
      </c>
      <c r="E14">
        <v>2</v>
      </c>
      <c r="F14">
        <v>15.42</v>
      </c>
      <c r="G14">
        <v>1.57</v>
      </c>
    </row>
    <row r="15" spans="1:11" x14ac:dyDescent="0.35">
      <c r="A15" t="s">
        <v>11</v>
      </c>
      <c r="B15" t="s">
        <v>8</v>
      </c>
      <c r="C15" t="s">
        <v>9</v>
      </c>
      <c r="D15" t="s">
        <v>10</v>
      </c>
      <c r="E15">
        <v>4</v>
      </c>
      <c r="F15">
        <v>18.43</v>
      </c>
      <c r="G15">
        <v>3</v>
      </c>
    </row>
    <row r="16" spans="1:11" x14ac:dyDescent="0.35">
      <c r="A16" t="s">
        <v>7</v>
      </c>
      <c r="B16" t="s">
        <v>8</v>
      </c>
      <c r="C16" t="s">
        <v>9</v>
      </c>
      <c r="D16" t="s">
        <v>10</v>
      </c>
      <c r="E16">
        <v>2</v>
      </c>
      <c r="F16">
        <v>14.83</v>
      </c>
      <c r="G16">
        <v>3.02</v>
      </c>
    </row>
    <row r="17" spans="1:7" x14ac:dyDescent="0.35">
      <c r="A17" t="s">
        <v>11</v>
      </c>
      <c r="B17" t="s">
        <v>8</v>
      </c>
      <c r="C17" t="s">
        <v>9</v>
      </c>
      <c r="D17" t="s">
        <v>10</v>
      </c>
      <c r="E17">
        <v>2</v>
      </c>
      <c r="F17">
        <v>21.58</v>
      </c>
      <c r="G17">
        <v>3.92</v>
      </c>
    </row>
    <row r="18" spans="1:7" x14ac:dyDescent="0.35">
      <c r="A18" t="s">
        <v>7</v>
      </c>
      <c r="B18" t="s">
        <v>8</v>
      </c>
      <c r="C18" t="s">
        <v>9</v>
      </c>
      <c r="D18" t="s">
        <v>10</v>
      </c>
      <c r="E18">
        <v>3</v>
      </c>
      <c r="F18">
        <v>10.33</v>
      </c>
      <c r="G18">
        <v>1.67</v>
      </c>
    </row>
    <row r="19" spans="1:7" x14ac:dyDescent="0.35">
      <c r="A19" t="s">
        <v>11</v>
      </c>
      <c r="B19" t="s">
        <v>8</v>
      </c>
      <c r="C19" t="s">
        <v>9</v>
      </c>
      <c r="D19" t="s">
        <v>10</v>
      </c>
      <c r="E19">
        <v>3</v>
      </c>
      <c r="F19">
        <v>16.29</v>
      </c>
      <c r="G19">
        <v>3.71</v>
      </c>
    </row>
    <row r="20" spans="1:7" x14ac:dyDescent="0.35">
      <c r="A20" t="s">
        <v>7</v>
      </c>
      <c r="B20" t="s">
        <v>8</v>
      </c>
      <c r="C20" t="s">
        <v>9</v>
      </c>
      <c r="D20" t="s">
        <v>10</v>
      </c>
      <c r="E20">
        <v>3</v>
      </c>
      <c r="F20">
        <v>16.97</v>
      </c>
      <c r="G20">
        <v>3.5</v>
      </c>
    </row>
    <row r="21" spans="1:7" x14ac:dyDescent="0.35">
      <c r="A21" t="s">
        <v>11</v>
      </c>
      <c r="B21" t="s">
        <v>8</v>
      </c>
      <c r="C21" t="s">
        <v>21</v>
      </c>
      <c r="D21" t="s">
        <v>10</v>
      </c>
      <c r="E21">
        <v>3</v>
      </c>
      <c r="F21">
        <v>20.65</v>
      </c>
      <c r="G21">
        <v>3.35</v>
      </c>
    </row>
    <row r="22" spans="1:7" x14ac:dyDescent="0.35">
      <c r="A22" t="s">
        <v>11</v>
      </c>
      <c r="B22" t="s">
        <v>8</v>
      </c>
      <c r="C22" t="s">
        <v>21</v>
      </c>
      <c r="D22" t="s">
        <v>10</v>
      </c>
      <c r="E22">
        <v>2</v>
      </c>
      <c r="F22">
        <v>17.920000000000002</v>
      </c>
      <c r="G22">
        <v>4.08</v>
      </c>
    </row>
    <row r="23" spans="1:7" x14ac:dyDescent="0.35">
      <c r="A23" t="s">
        <v>7</v>
      </c>
      <c r="B23" t="s">
        <v>8</v>
      </c>
      <c r="C23" t="s">
        <v>21</v>
      </c>
      <c r="D23" t="s">
        <v>10</v>
      </c>
      <c r="E23">
        <v>2</v>
      </c>
      <c r="F23">
        <v>20.29</v>
      </c>
      <c r="G23">
        <v>2.75</v>
      </c>
    </row>
    <row r="24" spans="1:7" x14ac:dyDescent="0.35">
      <c r="A24" t="s">
        <v>7</v>
      </c>
      <c r="B24" t="s">
        <v>8</v>
      </c>
      <c r="C24" t="s">
        <v>21</v>
      </c>
      <c r="D24" t="s">
        <v>10</v>
      </c>
      <c r="E24">
        <v>2</v>
      </c>
      <c r="F24">
        <v>15.77</v>
      </c>
      <c r="G24">
        <v>2.23</v>
      </c>
    </row>
    <row r="25" spans="1:7" x14ac:dyDescent="0.35">
      <c r="A25" t="s">
        <v>11</v>
      </c>
      <c r="B25" t="s">
        <v>8</v>
      </c>
      <c r="C25" t="s">
        <v>21</v>
      </c>
      <c r="D25" t="s">
        <v>10</v>
      </c>
      <c r="E25">
        <v>4</v>
      </c>
      <c r="F25">
        <v>39.42</v>
      </c>
      <c r="G25">
        <v>7.58</v>
      </c>
    </row>
    <row r="26" spans="1:7" x14ac:dyDescent="0.35">
      <c r="A26" t="s">
        <v>11</v>
      </c>
      <c r="B26" t="s">
        <v>8</v>
      </c>
      <c r="C26" t="s">
        <v>21</v>
      </c>
      <c r="D26" t="s">
        <v>10</v>
      </c>
      <c r="E26">
        <v>2</v>
      </c>
      <c r="F26">
        <v>19.82</v>
      </c>
      <c r="G26">
        <v>3.18</v>
      </c>
    </row>
    <row r="27" spans="1:7" x14ac:dyDescent="0.35">
      <c r="A27" t="s">
        <v>11</v>
      </c>
      <c r="B27" t="s">
        <v>8</v>
      </c>
      <c r="C27" t="s">
        <v>21</v>
      </c>
      <c r="D27" t="s">
        <v>10</v>
      </c>
      <c r="E27">
        <v>4</v>
      </c>
      <c r="F27">
        <v>17.809999999999999</v>
      </c>
      <c r="G27">
        <v>2.34</v>
      </c>
    </row>
    <row r="28" spans="1:7" x14ac:dyDescent="0.35">
      <c r="A28" t="s">
        <v>11</v>
      </c>
      <c r="B28" t="s">
        <v>8</v>
      </c>
      <c r="C28" t="s">
        <v>21</v>
      </c>
      <c r="D28" t="s">
        <v>10</v>
      </c>
      <c r="E28">
        <v>2</v>
      </c>
      <c r="F28">
        <v>13.37</v>
      </c>
      <c r="G28">
        <v>2</v>
      </c>
    </row>
    <row r="29" spans="1:7" x14ac:dyDescent="0.35">
      <c r="A29" t="s">
        <v>11</v>
      </c>
      <c r="B29" t="s">
        <v>8</v>
      </c>
      <c r="C29" t="s">
        <v>21</v>
      </c>
      <c r="D29" t="s">
        <v>10</v>
      </c>
      <c r="E29">
        <v>2</v>
      </c>
      <c r="F29">
        <v>12.69</v>
      </c>
      <c r="G29">
        <v>2</v>
      </c>
    </row>
    <row r="30" spans="1:7" x14ac:dyDescent="0.35">
      <c r="A30" t="s">
        <v>11</v>
      </c>
      <c r="B30" t="s">
        <v>8</v>
      </c>
      <c r="C30" t="s">
        <v>21</v>
      </c>
      <c r="D30" t="s">
        <v>10</v>
      </c>
      <c r="E30">
        <v>2</v>
      </c>
      <c r="F30">
        <v>21.7</v>
      </c>
      <c r="G30">
        <v>4.3</v>
      </c>
    </row>
    <row r="31" spans="1:7" x14ac:dyDescent="0.35">
      <c r="A31" t="s">
        <v>7</v>
      </c>
      <c r="B31" t="s">
        <v>8</v>
      </c>
      <c r="C31" t="s">
        <v>21</v>
      </c>
      <c r="D31" t="s">
        <v>10</v>
      </c>
      <c r="E31">
        <v>2</v>
      </c>
      <c r="F31">
        <v>19.649999999999999</v>
      </c>
      <c r="G31">
        <v>3</v>
      </c>
    </row>
    <row r="32" spans="1:7" x14ac:dyDescent="0.35">
      <c r="A32" t="s">
        <v>11</v>
      </c>
      <c r="B32" t="s">
        <v>8</v>
      </c>
      <c r="C32" t="s">
        <v>21</v>
      </c>
      <c r="D32" t="s">
        <v>10</v>
      </c>
      <c r="E32">
        <v>2</v>
      </c>
      <c r="F32">
        <v>9.5500000000000007</v>
      </c>
      <c r="G32">
        <v>1.45</v>
      </c>
    </row>
    <row r="33" spans="1:7" x14ac:dyDescent="0.35">
      <c r="A33" t="s">
        <v>11</v>
      </c>
      <c r="B33" t="s">
        <v>8</v>
      </c>
      <c r="C33" t="s">
        <v>21</v>
      </c>
      <c r="D33" t="s">
        <v>10</v>
      </c>
      <c r="E33">
        <v>4</v>
      </c>
      <c r="F33">
        <v>18.350000000000001</v>
      </c>
      <c r="G33">
        <v>2.5</v>
      </c>
    </row>
    <row r="34" spans="1:7" x14ac:dyDescent="0.35">
      <c r="A34" t="s">
        <v>7</v>
      </c>
      <c r="B34" t="s">
        <v>8</v>
      </c>
      <c r="C34" t="s">
        <v>21</v>
      </c>
      <c r="D34" t="s">
        <v>10</v>
      </c>
      <c r="E34">
        <v>2</v>
      </c>
      <c r="F34">
        <v>15.06</v>
      </c>
      <c r="G34">
        <v>3</v>
      </c>
    </row>
    <row r="35" spans="1:7" x14ac:dyDescent="0.35">
      <c r="A35" t="s">
        <v>7</v>
      </c>
      <c r="B35" t="s">
        <v>8</v>
      </c>
      <c r="C35" t="s">
        <v>21</v>
      </c>
      <c r="D35" t="s">
        <v>10</v>
      </c>
      <c r="E35">
        <v>4</v>
      </c>
      <c r="F35">
        <v>20.69</v>
      </c>
      <c r="G35">
        <v>2.4500000000000002</v>
      </c>
    </row>
    <row r="36" spans="1:7" x14ac:dyDescent="0.35">
      <c r="A36" t="s">
        <v>11</v>
      </c>
      <c r="B36" t="s">
        <v>8</v>
      </c>
      <c r="C36" t="s">
        <v>21</v>
      </c>
      <c r="D36" t="s">
        <v>10</v>
      </c>
      <c r="E36">
        <v>2</v>
      </c>
      <c r="F36">
        <v>17.78</v>
      </c>
      <c r="G36">
        <v>3.27</v>
      </c>
    </row>
    <row r="37" spans="1:7" x14ac:dyDescent="0.35">
      <c r="A37" t="s">
        <v>11</v>
      </c>
      <c r="B37" t="s">
        <v>8</v>
      </c>
      <c r="C37" t="s">
        <v>21</v>
      </c>
      <c r="D37" t="s">
        <v>10</v>
      </c>
      <c r="E37">
        <v>3</v>
      </c>
      <c r="F37">
        <v>24.06</v>
      </c>
      <c r="G37">
        <v>3.6</v>
      </c>
    </row>
    <row r="38" spans="1:7" x14ac:dyDescent="0.35">
      <c r="A38" t="s">
        <v>11</v>
      </c>
      <c r="B38" t="s">
        <v>8</v>
      </c>
      <c r="C38" t="s">
        <v>21</v>
      </c>
      <c r="D38" t="s">
        <v>10</v>
      </c>
      <c r="E38">
        <v>3</v>
      </c>
      <c r="F38">
        <v>16.309999999999999</v>
      </c>
      <c r="G38">
        <v>2</v>
      </c>
    </row>
    <row r="39" spans="1:7" x14ac:dyDescent="0.35">
      <c r="A39" t="s">
        <v>7</v>
      </c>
      <c r="B39" t="s">
        <v>8</v>
      </c>
      <c r="C39" t="s">
        <v>21</v>
      </c>
      <c r="D39" t="s">
        <v>10</v>
      </c>
      <c r="E39">
        <v>3</v>
      </c>
      <c r="F39">
        <v>16.93</v>
      </c>
      <c r="G39">
        <v>3.07</v>
      </c>
    </row>
    <row r="40" spans="1:7" x14ac:dyDescent="0.35">
      <c r="A40" t="s">
        <v>11</v>
      </c>
      <c r="B40" t="s">
        <v>8</v>
      </c>
      <c r="C40" t="s">
        <v>21</v>
      </c>
      <c r="D40" t="s">
        <v>10</v>
      </c>
      <c r="E40">
        <v>3</v>
      </c>
      <c r="F40">
        <v>18.690000000000001</v>
      </c>
      <c r="G40">
        <v>2.31</v>
      </c>
    </row>
    <row r="41" spans="1:7" x14ac:dyDescent="0.35">
      <c r="A41" t="s">
        <v>11</v>
      </c>
      <c r="B41" t="s">
        <v>8</v>
      </c>
      <c r="C41" t="s">
        <v>21</v>
      </c>
      <c r="D41" t="s">
        <v>10</v>
      </c>
      <c r="E41">
        <v>3</v>
      </c>
      <c r="F41">
        <v>31.27</v>
      </c>
      <c r="G41">
        <v>5</v>
      </c>
    </row>
    <row r="42" spans="1:7" x14ac:dyDescent="0.35">
      <c r="A42" t="s">
        <v>11</v>
      </c>
      <c r="B42" t="s">
        <v>8</v>
      </c>
      <c r="C42" t="s">
        <v>21</v>
      </c>
      <c r="D42" t="s">
        <v>10</v>
      </c>
      <c r="E42">
        <v>3</v>
      </c>
      <c r="F42">
        <v>16.04</v>
      </c>
      <c r="G42">
        <v>2.2400000000000002</v>
      </c>
    </row>
    <row r="43" spans="1:7" x14ac:dyDescent="0.35">
      <c r="A43" t="s">
        <v>11</v>
      </c>
      <c r="B43" t="s">
        <v>8</v>
      </c>
      <c r="C43" t="s">
        <v>9</v>
      </c>
      <c r="D43" t="s">
        <v>10</v>
      </c>
      <c r="E43">
        <v>2</v>
      </c>
      <c r="F43">
        <v>17.46</v>
      </c>
      <c r="G43">
        <v>2.54</v>
      </c>
    </row>
    <row r="44" spans="1:7" x14ac:dyDescent="0.35">
      <c r="A44" t="s">
        <v>11</v>
      </c>
      <c r="B44" t="s">
        <v>8</v>
      </c>
      <c r="C44" t="s">
        <v>9</v>
      </c>
      <c r="D44" t="s">
        <v>10</v>
      </c>
      <c r="E44">
        <v>2</v>
      </c>
      <c r="F44">
        <v>13.94</v>
      </c>
      <c r="G44">
        <v>3.06</v>
      </c>
    </row>
    <row r="45" spans="1:7" x14ac:dyDescent="0.35">
      <c r="A45" t="s">
        <v>11</v>
      </c>
      <c r="B45" t="s">
        <v>8</v>
      </c>
      <c r="C45" t="s">
        <v>9</v>
      </c>
      <c r="D45" t="s">
        <v>10</v>
      </c>
      <c r="E45">
        <v>2</v>
      </c>
      <c r="F45">
        <v>9.68</v>
      </c>
      <c r="G45">
        <v>1.32</v>
      </c>
    </row>
    <row r="46" spans="1:7" x14ac:dyDescent="0.35">
      <c r="A46" t="s">
        <v>11</v>
      </c>
      <c r="B46" t="s">
        <v>8</v>
      </c>
      <c r="C46" t="s">
        <v>9</v>
      </c>
      <c r="D46" t="s">
        <v>10</v>
      </c>
      <c r="E46">
        <v>4</v>
      </c>
      <c r="F46">
        <v>30.4</v>
      </c>
      <c r="G46">
        <v>5.6</v>
      </c>
    </row>
    <row r="47" spans="1:7" x14ac:dyDescent="0.35">
      <c r="A47" t="s">
        <v>11</v>
      </c>
      <c r="B47" t="s">
        <v>8</v>
      </c>
      <c r="C47" t="s">
        <v>9</v>
      </c>
      <c r="D47" t="s">
        <v>10</v>
      </c>
      <c r="E47">
        <v>2</v>
      </c>
      <c r="F47">
        <v>18.29</v>
      </c>
      <c r="G47">
        <v>3</v>
      </c>
    </row>
    <row r="48" spans="1:7" x14ac:dyDescent="0.35">
      <c r="A48" t="s">
        <v>11</v>
      </c>
      <c r="B48" t="s">
        <v>8</v>
      </c>
      <c r="C48" t="s">
        <v>9</v>
      </c>
      <c r="D48" t="s">
        <v>10</v>
      </c>
      <c r="E48">
        <v>2</v>
      </c>
      <c r="F48">
        <v>22.23</v>
      </c>
      <c r="G48">
        <v>5</v>
      </c>
    </row>
    <row r="49" spans="1:7" x14ac:dyDescent="0.35">
      <c r="A49" t="s">
        <v>11</v>
      </c>
      <c r="B49" t="s">
        <v>8</v>
      </c>
      <c r="C49" t="s">
        <v>9</v>
      </c>
      <c r="D49" t="s">
        <v>10</v>
      </c>
      <c r="E49">
        <v>4</v>
      </c>
      <c r="F49">
        <v>32.4</v>
      </c>
      <c r="G49">
        <v>6</v>
      </c>
    </row>
    <row r="50" spans="1:7" x14ac:dyDescent="0.35">
      <c r="A50" t="s">
        <v>11</v>
      </c>
      <c r="B50" t="s">
        <v>8</v>
      </c>
      <c r="C50" t="s">
        <v>9</v>
      </c>
      <c r="D50" t="s">
        <v>10</v>
      </c>
      <c r="E50">
        <v>3</v>
      </c>
      <c r="F50">
        <v>28.55</v>
      </c>
      <c r="G50">
        <v>2.0499999999999998</v>
      </c>
    </row>
    <row r="51" spans="1:7" x14ac:dyDescent="0.35">
      <c r="A51" t="s">
        <v>11</v>
      </c>
      <c r="B51" t="s">
        <v>8</v>
      </c>
      <c r="C51" t="s">
        <v>9</v>
      </c>
      <c r="D51" t="s">
        <v>10</v>
      </c>
      <c r="E51">
        <v>2</v>
      </c>
      <c r="F51">
        <v>18.04</v>
      </c>
      <c r="G51">
        <v>3</v>
      </c>
    </row>
    <row r="52" spans="1:7" x14ac:dyDescent="0.35">
      <c r="A52" t="s">
        <v>11</v>
      </c>
      <c r="B52" t="s">
        <v>8</v>
      </c>
      <c r="C52" t="s">
        <v>9</v>
      </c>
      <c r="D52" t="s">
        <v>10</v>
      </c>
      <c r="E52">
        <v>2</v>
      </c>
      <c r="F52">
        <v>12.54</v>
      </c>
      <c r="G52">
        <v>2.5</v>
      </c>
    </row>
    <row r="53" spans="1:7" x14ac:dyDescent="0.35">
      <c r="A53" t="s">
        <v>7</v>
      </c>
      <c r="B53" t="s">
        <v>8</v>
      </c>
      <c r="C53" t="s">
        <v>9</v>
      </c>
      <c r="D53" t="s">
        <v>10</v>
      </c>
      <c r="E53">
        <v>2</v>
      </c>
      <c r="F53">
        <v>10.29</v>
      </c>
      <c r="G53">
        <v>2.6</v>
      </c>
    </row>
    <row r="54" spans="1:7" x14ac:dyDescent="0.35">
      <c r="A54" t="s">
        <v>7</v>
      </c>
      <c r="B54" t="s">
        <v>8</v>
      </c>
      <c r="C54" t="s">
        <v>9</v>
      </c>
      <c r="D54" t="s">
        <v>10</v>
      </c>
      <c r="E54">
        <v>4</v>
      </c>
      <c r="F54">
        <v>34.81</v>
      </c>
      <c r="G54">
        <v>5.2</v>
      </c>
    </row>
    <row r="55" spans="1:7" x14ac:dyDescent="0.35">
      <c r="A55" t="s">
        <v>11</v>
      </c>
      <c r="B55" t="s">
        <v>8</v>
      </c>
      <c r="C55" t="s">
        <v>9</v>
      </c>
      <c r="D55" t="s">
        <v>10</v>
      </c>
      <c r="E55">
        <v>2</v>
      </c>
      <c r="F55">
        <v>9.94</v>
      </c>
      <c r="G55">
        <v>1.56</v>
      </c>
    </row>
    <row r="56" spans="1:7" x14ac:dyDescent="0.35">
      <c r="A56" t="s">
        <v>11</v>
      </c>
      <c r="B56" t="s">
        <v>8</v>
      </c>
      <c r="C56" t="s">
        <v>9</v>
      </c>
      <c r="D56" t="s">
        <v>10</v>
      </c>
      <c r="E56">
        <v>4</v>
      </c>
      <c r="F56">
        <v>25.56</v>
      </c>
      <c r="G56">
        <v>4.34</v>
      </c>
    </row>
    <row r="57" spans="1:7" x14ac:dyDescent="0.35">
      <c r="A57" t="s">
        <v>11</v>
      </c>
      <c r="B57" t="s">
        <v>8</v>
      </c>
      <c r="C57" t="s">
        <v>9</v>
      </c>
      <c r="D57" t="s">
        <v>10</v>
      </c>
      <c r="E57">
        <v>2</v>
      </c>
      <c r="F57">
        <v>19.489999999999998</v>
      </c>
      <c r="G57">
        <v>3.51</v>
      </c>
    </row>
    <row r="58" spans="1:7" x14ac:dyDescent="0.35">
      <c r="A58" t="s">
        <v>11</v>
      </c>
      <c r="B58" t="s">
        <v>22</v>
      </c>
      <c r="C58" t="s">
        <v>21</v>
      </c>
      <c r="D58" t="s">
        <v>10</v>
      </c>
      <c r="E58">
        <v>4</v>
      </c>
      <c r="F58">
        <v>38.01</v>
      </c>
      <c r="G58">
        <v>3</v>
      </c>
    </row>
    <row r="59" spans="1:7" x14ac:dyDescent="0.35">
      <c r="A59" t="s">
        <v>7</v>
      </c>
      <c r="B59" t="s">
        <v>8</v>
      </c>
      <c r="C59" t="s">
        <v>21</v>
      </c>
      <c r="D59" t="s">
        <v>10</v>
      </c>
      <c r="E59">
        <v>2</v>
      </c>
      <c r="F59">
        <v>26.41</v>
      </c>
      <c r="G59">
        <v>1.5</v>
      </c>
    </row>
    <row r="60" spans="1:7" x14ac:dyDescent="0.35">
      <c r="A60" t="s">
        <v>11</v>
      </c>
      <c r="B60" t="s">
        <v>22</v>
      </c>
      <c r="C60" t="s">
        <v>21</v>
      </c>
      <c r="D60" t="s">
        <v>10</v>
      </c>
      <c r="E60">
        <v>2</v>
      </c>
      <c r="F60">
        <v>11.24</v>
      </c>
      <c r="G60">
        <v>1.76</v>
      </c>
    </row>
    <row r="61" spans="1:7" x14ac:dyDescent="0.35">
      <c r="A61" t="s">
        <v>11</v>
      </c>
      <c r="B61" t="s">
        <v>8</v>
      </c>
      <c r="C61" t="s">
        <v>21</v>
      </c>
      <c r="D61" t="s">
        <v>10</v>
      </c>
      <c r="E61">
        <v>4</v>
      </c>
      <c r="F61">
        <v>48.27</v>
      </c>
      <c r="G61">
        <v>6.73</v>
      </c>
    </row>
    <row r="62" spans="1:7" x14ac:dyDescent="0.35">
      <c r="A62" t="s">
        <v>11</v>
      </c>
      <c r="B62" t="s">
        <v>22</v>
      </c>
      <c r="C62" t="s">
        <v>21</v>
      </c>
      <c r="D62" t="s">
        <v>10</v>
      </c>
      <c r="E62">
        <v>2</v>
      </c>
      <c r="F62">
        <v>20.29</v>
      </c>
      <c r="G62">
        <v>3.21</v>
      </c>
    </row>
    <row r="63" spans="1:7" x14ac:dyDescent="0.35">
      <c r="A63" t="s">
        <v>11</v>
      </c>
      <c r="B63" t="s">
        <v>22</v>
      </c>
      <c r="C63" t="s">
        <v>21</v>
      </c>
      <c r="D63" t="s">
        <v>10</v>
      </c>
      <c r="E63">
        <v>2</v>
      </c>
      <c r="F63">
        <v>13.81</v>
      </c>
      <c r="G63">
        <v>2</v>
      </c>
    </row>
    <row r="64" spans="1:7" x14ac:dyDescent="0.35">
      <c r="A64" t="s">
        <v>11</v>
      </c>
      <c r="B64" t="s">
        <v>22</v>
      </c>
      <c r="C64" t="s">
        <v>21</v>
      </c>
      <c r="D64" t="s">
        <v>10</v>
      </c>
      <c r="E64">
        <v>2</v>
      </c>
      <c r="F64">
        <v>11.02</v>
      </c>
      <c r="G64">
        <v>1.98</v>
      </c>
    </row>
    <row r="65" spans="1:7" x14ac:dyDescent="0.35">
      <c r="A65" t="s">
        <v>11</v>
      </c>
      <c r="B65" t="s">
        <v>22</v>
      </c>
      <c r="C65" t="s">
        <v>21</v>
      </c>
      <c r="D65" t="s">
        <v>10</v>
      </c>
      <c r="E65">
        <v>4</v>
      </c>
      <c r="F65">
        <v>18.29</v>
      </c>
      <c r="G65">
        <v>3.76</v>
      </c>
    </row>
    <row r="66" spans="1:7" x14ac:dyDescent="0.35">
      <c r="A66" t="s">
        <v>11</v>
      </c>
      <c r="B66" t="s">
        <v>8</v>
      </c>
      <c r="C66" t="s">
        <v>21</v>
      </c>
      <c r="D66" t="s">
        <v>10</v>
      </c>
      <c r="E66">
        <v>3</v>
      </c>
      <c r="F66">
        <v>17.59</v>
      </c>
      <c r="G66">
        <v>2.64</v>
      </c>
    </row>
    <row r="67" spans="1:7" x14ac:dyDescent="0.35">
      <c r="A67" t="s">
        <v>11</v>
      </c>
      <c r="B67" t="s">
        <v>8</v>
      </c>
      <c r="C67" t="s">
        <v>21</v>
      </c>
      <c r="D67" t="s">
        <v>10</v>
      </c>
      <c r="E67">
        <v>3</v>
      </c>
      <c r="F67">
        <v>20.079999999999998</v>
      </c>
      <c r="G67">
        <v>3.15</v>
      </c>
    </row>
    <row r="68" spans="1:7" x14ac:dyDescent="0.35">
      <c r="A68" t="s">
        <v>7</v>
      </c>
      <c r="B68" t="s">
        <v>8</v>
      </c>
      <c r="C68" t="s">
        <v>21</v>
      </c>
      <c r="D68" t="s">
        <v>10</v>
      </c>
      <c r="E68">
        <v>2</v>
      </c>
      <c r="F68">
        <v>16.45</v>
      </c>
      <c r="G68">
        <v>2.4700000000000002</v>
      </c>
    </row>
    <row r="69" spans="1:7" x14ac:dyDescent="0.35">
      <c r="A69" t="s">
        <v>7</v>
      </c>
      <c r="B69" t="s">
        <v>22</v>
      </c>
      <c r="C69" t="s">
        <v>21</v>
      </c>
      <c r="D69" t="s">
        <v>10</v>
      </c>
      <c r="E69">
        <v>1</v>
      </c>
      <c r="F69">
        <v>3.07</v>
      </c>
      <c r="G69">
        <v>1</v>
      </c>
    </row>
    <row r="70" spans="1:7" x14ac:dyDescent="0.35">
      <c r="A70" t="s">
        <v>11</v>
      </c>
      <c r="B70" t="s">
        <v>8</v>
      </c>
      <c r="C70" t="s">
        <v>21</v>
      </c>
      <c r="D70" t="s">
        <v>10</v>
      </c>
      <c r="E70">
        <v>2</v>
      </c>
      <c r="F70">
        <v>20.23</v>
      </c>
      <c r="G70">
        <v>2.0099999999999998</v>
      </c>
    </row>
    <row r="71" spans="1:7" x14ac:dyDescent="0.35">
      <c r="A71" t="s">
        <v>11</v>
      </c>
      <c r="B71" t="s">
        <v>22</v>
      </c>
      <c r="C71" t="s">
        <v>21</v>
      </c>
      <c r="D71" t="s">
        <v>10</v>
      </c>
      <c r="E71">
        <v>2</v>
      </c>
      <c r="F71">
        <v>15.01</v>
      </c>
      <c r="G71">
        <v>2.09</v>
      </c>
    </row>
    <row r="72" spans="1:7" x14ac:dyDescent="0.35">
      <c r="A72" t="s">
        <v>11</v>
      </c>
      <c r="B72" t="s">
        <v>8</v>
      </c>
      <c r="C72" t="s">
        <v>21</v>
      </c>
      <c r="D72" t="s">
        <v>10</v>
      </c>
      <c r="E72">
        <v>2</v>
      </c>
      <c r="F72">
        <v>12.02</v>
      </c>
      <c r="G72">
        <v>1.97</v>
      </c>
    </row>
    <row r="73" spans="1:7" x14ac:dyDescent="0.35">
      <c r="A73" t="s">
        <v>7</v>
      </c>
      <c r="B73" t="s">
        <v>8</v>
      </c>
      <c r="C73" t="s">
        <v>21</v>
      </c>
      <c r="D73" t="s">
        <v>10</v>
      </c>
      <c r="E73">
        <v>3</v>
      </c>
      <c r="F73">
        <v>17.07</v>
      </c>
      <c r="G73">
        <v>3</v>
      </c>
    </row>
    <row r="74" spans="1:7" x14ac:dyDescent="0.35">
      <c r="A74" t="s">
        <v>7</v>
      </c>
      <c r="B74" t="s">
        <v>22</v>
      </c>
      <c r="C74" t="s">
        <v>21</v>
      </c>
      <c r="D74" t="s">
        <v>10</v>
      </c>
      <c r="E74">
        <v>2</v>
      </c>
      <c r="F74">
        <v>26.86</v>
      </c>
      <c r="G74">
        <v>3.14</v>
      </c>
    </row>
    <row r="75" spans="1:7" x14ac:dyDescent="0.35">
      <c r="A75" t="s">
        <v>7</v>
      </c>
      <c r="B75" t="s">
        <v>22</v>
      </c>
      <c r="C75" t="s">
        <v>21</v>
      </c>
      <c r="D75" t="s">
        <v>10</v>
      </c>
      <c r="E75">
        <v>2</v>
      </c>
      <c r="F75">
        <v>25.28</v>
      </c>
      <c r="G75">
        <v>5</v>
      </c>
    </row>
    <row r="76" spans="1:7" x14ac:dyDescent="0.35">
      <c r="A76" t="s">
        <v>7</v>
      </c>
      <c r="B76" t="s">
        <v>8</v>
      </c>
      <c r="C76" t="s">
        <v>21</v>
      </c>
      <c r="D76" t="s">
        <v>10</v>
      </c>
      <c r="E76">
        <v>2</v>
      </c>
      <c r="F76">
        <v>14.73</v>
      </c>
      <c r="G76">
        <v>2.2000000000000002</v>
      </c>
    </row>
    <row r="77" spans="1:7" x14ac:dyDescent="0.35">
      <c r="A77" t="s">
        <v>11</v>
      </c>
      <c r="B77" t="s">
        <v>8</v>
      </c>
      <c r="C77" t="s">
        <v>21</v>
      </c>
      <c r="D77" t="s">
        <v>10</v>
      </c>
      <c r="E77">
        <v>2</v>
      </c>
      <c r="F77">
        <v>10.51</v>
      </c>
      <c r="G77">
        <v>1.25</v>
      </c>
    </row>
    <row r="78" spans="1:7" x14ac:dyDescent="0.35">
      <c r="A78" t="s">
        <v>11</v>
      </c>
      <c r="B78" t="s">
        <v>22</v>
      </c>
      <c r="C78" t="s">
        <v>21</v>
      </c>
      <c r="D78" t="s">
        <v>10</v>
      </c>
      <c r="E78">
        <v>2</v>
      </c>
      <c r="F78">
        <v>17.920000000000002</v>
      </c>
      <c r="G78">
        <v>3.08</v>
      </c>
    </row>
    <row r="79" spans="1:7" x14ac:dyDescent="0.35">
      <c r="A79" t="s">
        <v>11</v>
      </c>
      <c r="B79" t="s">
        <v>8</v>
      </c>
      <c r="C79" t="s">
        <v>23</v>
      </c>
      <c r="D79" t="s">
        <v>24</v>
      </c>
      <c r="E79">
        <v>4</v>
      </c>
      <c r="F79">
        <v>27.2</v>
      </c>
      <c r="G79">
        <v>4</v>
      </c>
    </row>
    <row r="80" spans="1:7" x14ac:dyDescent="0.35">
      <c r="A80" t="s">
        <v>11</v>
      </c>
      <c r="B80" t="s">
        <v>8</v>
      </c>
      <c r="C80" t="s">
        <v>23</v>
      </c>
      <c r="D80" t="s">
        <v>24</v>
      </c>
      <c r="E80">
        <v>2</v>
      </c>
      <c r="F80">
        <v>22.76</v>
      </c>
      <c r="G80">
        <v>3</v>
      </c>
    </row>
    <row r="81" spans="1:7" x14ac:dyDescent="0.35">
      <c r="A81" t="s">
        <v>11</v>
      </c>
      <c r="B81" t="s">
        <v>8</v>
      </c>
      <c r="C81" t="s">
        <v>23</v>
      </c>
      <c r="D81" t="s">
        <v>24</v>
      </c>
      <c r="E81">
        <v>2</v>
      </c>
      <c r="F81">
        <v>17.29</v>
      </c>
      <c r="G81">
        <v>2.71</v>
      </c>
    </row>
    <row r="82" spans="1:7" x14ac:dyDescent="0.35">
      <c r="A82" t="s">
        <v>11</v>
      </c>
      <c r="B82" t="s">
        <v>22</v>
      </c>
      <c r="C82" t="s">
        <v>23</v>
      </c>
      <c r="D82" t="s">
        <v>24</v>
      </c>
      <c r="E82">
        <v>2</v>
      </c>
      <c r="F82">
        <v>19.440000000000001</v>
      </c>
      <c r="G82">
        <v>3</v>
      </c>
    </row>
    <row r="83" spans="1:7" x14ac:dyDescent="0.35">
      <c r="A83" t="s">
        <v>11</v>
      </c>
      <c r="B83" t="s">
        <v>8</v>
      </c>
      <c r="C83" t="s">
        <v>23</v>
      </c>
      <c r="D83" t="s">
        <v>24</v>
      </c>
      <c r="E83">
        <v>2</v>
      </c>
      <c r="F83">
        <v>16.66</v>
      </c>
      <c r="G83">
        <v>3.4</v>
      </c>
    </row>
    <row r="84" spans="1:7" x14ac:dyDescent="0.35">
      <c r="A84" t="s">
        <v>7</v>
      </c>
      <c r="B84" t="s">
        <v>8</v>
      </c>
      <c r="C84" t="s">
        <v>23</v>
      </c>
      <c r="D84" t="s">
        <v>24</v>
      </c>
      <c r="E84">
        <v>1</v>
      </c>
      <c r="F84">
        <v>10.07</v>
      </c>
      <c r="G84">
        <v>1.83</v>
      </c>
    </row>
    <row r="85" spans="1:7" x14ac:dyDescent="0.35">
      <c r="A85" t="s">
        <v>11</v>
      </c>
      <c r="B85" t="s">
        <v>22</v>
      </c>
      <c r="C85" t="s">
        <v>23</v>
      </c>
      <c r="D85" t="s">
        <v>24</v>
      </c>
      <c r="E85">
        <v>2</v>
      </c>
      <c r="F85">
        <v>32.68</v>
      </c>
      <c r="G85">
        <v>5</v>
      </c>
    </row>
    <row r="86" spans="1:7" x14ac:dyDescent="0.35">
      <c r="A86" t="s">
        <v>11</v>
      </c>
      <c r="B86" t="s">
        <v>8</v>
      </c>
      <c r="C86" t="s">
        <v>23</v>
      </c>
      <c r="D86" t="s">
        <v>24</v>
      </c>
      <c r="E86">
        <v>2</v>
      </c>
      <c r="F86">
        <v>15.98</v>
      </c>
      <c r="G86">
        <v>2.0299999999999998</v>
      </c>
    </row>
    <row r="87" spans="1:7" x14ac:dyDescent="0.35">
      <c r="A87" t="s">
        <v>7</v>
      </c>
      <c r="B87" t="s">
        <v>8</v>
      </c>
      <c r="C87" t="s">
        <v>23</v>
      </c>
      <c r="D87" t="s">
        <v>24</v>
      </c>
      <c r="E87">
        <v>4</v>
      </c>
      <c r="F87">
        <v>34.83</v>
      </c>
      <c r="G87">
        <v>5.17</v>
      </c>
    </row>
    <row r="88" spans="1:7" x14ac:dyDescent="0.35">
      <c r="A88" t="s">
        <v>11</v>
      </c>
      <c r="B88" t="s">
        <v>8</v>
      </c>
      <c r="C88" t="s">
        <v>23</v>
      </c>
      <c r="D88" t="s">
        <v>24</v>
      </c>
      <c r="E88">
        <v>2</v>
      </c>
      <c r="F88">
        <v>13.03</v>
      </c>
      <c r="G88">
        <v>2</v>
      </c>
    </row>
    <row r="89" spans="1:7" x14ac:dyDescent="0.35">
      <c r="A89" t="s">
        <v>11</v>
      </c>
      <c r="B89" t="s">
        <v>8</v>
      </c>
      <c r="C89" t="s">
        <v>23</v>
      </c>
      <c r="D89" t="s">
        <v>24</v>
      </c>
      <c r="E89">
        <v>2</v>
      </c>
      <c r="F89">
        <v>18.28</v>
      </c>
      <c r="G89">
        <v>4</v>
      </c>
    </row>
    <row r="90" spans="1:7" x14ac:dyDescent="0.35">
      <c r="A90" t="s">
        <v>11</v>
      </c>
      <c r="B90" t="s">
        <v>8</v>
      </c>
      <c r="C90" t="s">
        <v>23</v>
      </c>
      <c r="D90" t="s">
        <v>24</v>
      </c>
      <c r="E90">
        <v>2</v>
      </c>
      <c r="F90">
        <v>24.71</v>
      </c>
      <c r="G90">
        <v>5.85</v>
      </c>
    </row>
    <row r="91" spans="1:7" x14ac:dyDescent="0.35">
      <c r="A91" t="s">
        <v>11</v>
      </c>
      <c r="B91" t="s">
        <v>8</v>
      </c>
      <c r="C91" t="s">
        <v>23</v>
      </c>
      <c r="D91" t="s">
        <v>24</v>
      </c>
      <c r="E91">
        <v>2</v>
      </c>
      <c r="F91">
        <v>21.16</v>
      </c>
      <c r="G91">
        <v>3</v>
      </c>
    </row>
    <row r="92" spans="1:7" x14ac:dyDescent="0.35">
      <c r="A92" t="s">
        <v>11</v>
      </c>
      <c r="B92" t="s">
        <v>22</v>
      </c>
      <c r="C92" t="s">
        <v>25</v>
      </c>
      <c r="D92" t="s">
        <v>10</v>
      </c>
      <c r="E92">
        <v>2</v>
      </c>
      <c r="F92">
        <v>28.97</v>
      </c>
      <c r="G92">
        <v>3</v>
      </c>
    </row>
    <row r="93" spans="1:7" x14ac:dyDescent="0.35">
      <c r="A93" t="s">
        <v>11</v>
      </c>
      <c r="B93" t="s">
        <v>8</v>
      </c>
      <c r="C93" t="s">
        <v>25</v>
      </c>
      <c r="D93" t="s">
        <v>10</v>
      </c>
      <c r="E93">
        <v>2</v>
      </c>
      <c r="F93">
        <v>22.49</v>
      </c>
      <c r="G93">
        <v>3.5</v>
      </c>
    </row>
    <row r="94" spans="1:7" x14ac:dyDescent="0.35">
      <c r="A94" t="s">
        <v>7</v>
      </c>
      <c r="B94" t="s">
        <v>22</v>
      </c>
      <c r="C94" t="s">
        <v>25</v>
      </c>
      <c r="D94" t="s">
        <v>10</v>
      </c>
      <c r="E94">
        <v>2</v>
      </c>
      <c r="F94">
        <v>5.75</v>
      </c>
      <c r="G94">
        <v>1</v>
      </c>
    </row>
    <row r="95" spans="1:7" x14ac:dyDescent="0.35">
      <c r="A95" t="s">
        <v>7</v>
      </c>
      <c r="B95" t="s">
        <v>22</v>
      </c>
      <c r="C95" t="s">
        <v>25</v>
      </c>
      <c r="D95" t="s">
        <v>10</v>
      </c>
      <c r="E95">
        <v>2</v>
      </c>
      <c r="F95">
        <v>16.32</v>
      </c>
      <c r="G95">
        <v>4.3</v>
      </c>
    </row>
    <row r="96" spans="1:7" x14ac:dyDescent="0.35">
      <c r="A96" t="s">
        <v>7</v>
      </c>
      <c r="B96" t="s">
        <v>8</v>
      </c>
      <c r="C96" t="s">
        <v>25</v>
      </c>
      <c r="D96" t="s">
        <v>10</v>
      </c>
      <c r="E96">
        <v>2</v>
      </c>
      <c r="F96">
        <v>22.75</v>
      </c>
      <c r="G96">
        <v>3.25</v>
      </c>
    </row>
    <row r="97" spans="1:7" x14ac:dyDescent="0.35">
      <c r="A97" t="s">
        <v>11</v>
      </c>
      <c r="B97" t="s">
        <v>22</v>
      </c>
      <c r="C97" t="s">
        <v>25</v>
      </c>
      <c r="D97" t="s">
        <v>10</v>
      </c>
      <c r="E97">
        <v>4</v>
      </c>
      <c r="F97">
        <v>40.17</v>
      </c>
      <c r="G97">
        <v>4.7300000000000004</v>
      </c>
    </row>
    <row r="98" spans="1:7" x14ac:dyDescent="0.35">
      <c r="A98" t="s">
        <v>11</v>
      </c>
      <c r="B98" t="s">
        <v>22</v>
      </c>
      <c r="C98" t="s">
        <v>25</v>
      </c>
      <c r="D98" t="s">
        <v>10</v>
      </c>
      <c r="E98">
        <v>2</v>
      </c>
      <c r="F98">
        <v>27.28</v>
      </c>
      <c r="G98">
        <v>4</v>
      </c>
    </row>
    <row r="99" spans="1:7" x14ac:dyDescent="0.35">
      <c r="A99" t="s">
        <v>11</v>
      </c>
      <c r="B99" t="s">
        <v>22</v>
      </c>
      <c r="C99" t="s">
        <v>25</v>
      </c>
      <c r="D99" t="s">
        <v>10</v>
      </c>
      <c r="E99">
        <v>2</v>
      </c>
      <c r="F99">
        <v>12.03</v>
      </c>
      <c r="G99">
        <v>1.5</v>
      </c>
    </row>
    <row r="100" spans="1:7" x14ac:dyDescent="0.35">
      <c r="A100" t="s">
        <v>11</v>
      </c>
      <c r="B100" t="s">
        <v>22</v>
      </c>
      <c r="C100" t="s">
        <v>25</v>
      </c>
      <c r="D100" t="s">
        <v>10</v>
      </c>
      <c r="E100">
        <v>2</v>
      </c>
      <c r="F100">
        <v>21.01</v>
      </c>
      <c r="G100">
        <v>3</v>
      </c>
    </row>
    <row r="101" spans="1:7" x14ac:dyDescent="0.35">
      <c r="A101" t="s">
        <v>11</v>
      </c>
      <c r="B101" t="s">
        <v>8</v>
      </c>
      <c r="C101" t="s">
        <v>25</v>
      </c>
      <c r="D101" t="s">
        <v>10</v>
      </c>
      <c r="E101">
        <v>2</v>
      </c>
      <c r="F101">
        <v>12.46</v>
      </c>
      <c r="G101">
        <v>1.5</v>
      </c>
    </row>
    <row r="102" spans="1:7" x14ac:dyDescent="0.35">
      <c r="A102" t="s">
        <v>7</v>
      </c>
      <c r="B102" t="s">
        <v>22</v>
      </c>
      <c r="C102" t="s">
        <v>25</v>
      </c>
      <c r="D102" t="s">
        <v>10</v>
      </c>
      <c r="E102">
        <v>2</v>
      </c>
      <c r="F102">
        <v>11.35</v>
      </c>
      <c r="G102">
        <v>2.5</v>
      </c>
    </row>
    <row r="103" spans="1:7" x14ac:dyDescent="0.35">
      <c r="A103" t="s">
        <v>7</v>
      </c>
      <c r="B103" t="s">
        <v>22</v>
      </c>
      <c r="C103" t="s">
        <v>25</v>
      </c>
      <c r="D103" t="s">
        <v>10</v>
      </c>
      <c r="E103">
        <v>2</v>
      </c>
      <c r="F103">
        <v>15.38</v>
      </c>
      <c r="G103">
        <v>3</v>
      </c>
    </row>
    <row r="104" spans="1:7" x14ac:dyDescent="0.35">
      <c r="A104" t="s">
        <v>7</v>
      </c>
      <c r="B104" t="s">
        <v>22</v>
      </c>
      <c r="C104" t="s">
        <v>21</v>
      </c>
      <c r="D104" t="s">
        <v>10</v>
      </c>
      <c r="E104">
        <v>3</v>
      </c>
      <c r="F104">
        <v>44.3</v>
      </c>
      <c r="G104">
        <v>2.5</v>
      </c>
    </row>
    <row r="105" spans="1:7" x14ac:dyDescent="0.35">
      <c r="A105" t="s">
        <v>7</v>
      </c>
      <c r="B105" t="s">
        <v>22</v>
      </c>
      <c r="C105" t="s">
        <v>21</v>
      </c>
      <c r="D105" t="s">
        <v>10</v>
      </c>
      <c r="E105">
        <v>2</v>
      </c>
      <c r="F105">
        <v>22.42</v>
      </c>
      <c r="G105">
        <v>3.48</v>
      </c>
    </row>
    <row r="106" spans="1:7" x14ac:dyDescent="0.35">
      <c r="A106" t="s">
        <v>7</v>
      </c>
      <c r="B106" t="s">
        <v>8</v>
      </c>
      <c r="C106" t="s">
        <v>21</v>
      </c>
      <c r="D106" t="s">
        <v>10</v>
      </c>
      <c r="E106">
        <v>2</v>
      </c>
      <c r="F106">
        <v>20.92</v>
      </c>
      <c r="G106">
        <v>4.08</v>
      </c>
    </row>
    <row r="107" spans="1:7" x14ac:dyDescent="0.35">
      <c r="A107" t="s">
        <v>11</v>
      </c>
      <c r="B107" t="s">
        <v>22</v>
      </c>
      <c r="C107" t="s">
        <v>21</v>
      </c>
      <c r="D107" t="s">
        <v>10</v>
      </c>
      <c r="E107">
        <v>2</v>
      </c>
      <c r="F107">
        <v>15.36</v>
      </c>
      <c r="G107">
        <v>1.64</v>
      </c>
    </row>
    <row r="108" spans="1:7" x14ac:dyDescent="0.35">
      <c r="A108" t="s">
        <v>11</v>
      </c>
      <c r="B108" t="s">
        <v>22</v>
      </c>
      <c r="C108" t="s">
        <v>21</v>
      </c>
      <c r="D108" t="s">
        <v>10</v>
      </c>
      <c r="E108">
        <v>2</v>
      </c>
      <c r="F108">
        <v>20.49</v>
      </c>
      <c r="G108">
        <v>4.0599999999999996</v>
      </c>
    </row>
    <row r="109" spans="1:7" x14ac:dyDescent="0.35">
      <c r="A109" t="s">
        <v>11</v>
      </c>
      <c r="B109" t="s">
        <v>22</v>
      </c>
      <c r="C109" t="s">
        <v>21</v>
      </c>
      <c r="D109" t="s">
        <v>10</v>
      </c>
      <c r="E109">
        <v>2</v>
      </c>
      <c r="F109">
        <v>25.21</v>
      </c>
      <c r="G109">
        <v>4.29</v>
      </c>
    </row>
    <row r="110" spans="1:7" x14ac:dyDescent="0.35">
      <c r="A110" t="s">
        <v>11</v>
      </c>
      <c r="B110" t="s">
        <v>8</v>
      </c>
      <c r="C110" t="s">
        <v>21</v>
      </c>
      <c r="D110" t="s">
        <v>10</v>
      </c>
      <c r="E110">
        <v>2</v>
      </c>
      <c r="F110">
        <v>18.239999999999998</v>
      </c>
      <c r="G110">
        <v>3.76</v>
      </c>
    </row>
    <row r="111" spans="1:7" x14ac:dyDescent="0.35">
      <c r="A111" t="s">
        <v>7</v>
      </c>
      <c r="B111" t="s">
        <v>22</v>
      </c>
      <c r="C111" t="s">
        <v>21</v>
      </c>
      <c r="D111" t="s">
        <v>10</v>
      </c>
      <c r="E111">
        <v>2</v>
      </c>
      <c r="F111">
        <v>14.31</v>
      </c>
      <c r="G111">
        <v>4</v>
      </c>
    </row>
    <row r="112" spans="1:7" x14ac:dyDescent="0.35">
      <c r="A112" t="s">
        <v>11</v>
      </c>
      <c r="B112" t="s">
        <v>8</v>
      </c>
      <c r="C112" t="s">
        <v>21</v>
      </c>
      <c r="D112" t="s">
        <v>10</v>
      </c>
      <c r="E112">
        <v>2</v>
      </c>
      <c r="F112">
        <v>14</v>
      </c>
      <c r="G112">
        <v>3</v>
      </c>
    </row>
    <row r="113" spans="1:7" x14ac:dyDescent="0.35">
      <c r="A113" t="s">
        <v>7</v>
      </c>
      <c r="B113" t="s">
        <v>8</v>
      </c>
      <c r="C113" t="s">
        <v>21</v>
      </c>
      <c r="D113" t="s">
        <v>10</v>
      </c>
      <c r="E113">
        <v>1</v>
      </c>
      <c r="F113">
        <v>7.25</v>
      </c>
      <c r="G113">
        <v>1</v>
      </c>
    </row>
    <row r="114" spans="1:7" x14ac:dyDescent="0.35">
      <c r="A114" t="s">
        <v>11</v>
      </c>
      <c r="B114" t="s">
        <v>8</v>
      </c>
      <c r="C114" t="s">
        <v>9</v>
      </c>
      <c r="D114" t="s">
        <v>10</v>
      </c>
      <c r="E114">
        <v>3</v>
      </c>
      <c r="F114">
        <v>38.07</v>
      </c>
      <c r="G114">
        <v>4</v>
      </c>
    </row>
    <row r="115" spans="1:7" x14ac:dyDescent="0.35">
      <c r="A115" t="s">
        <v>11</v>
      </c>
      <c r="B115" t="s">
        <v>8</v>
      </c>
      <c r="C115" t="s">
        <v>9</v>
      </c>
      <c r="D115" t="s">
        <v>10</v>
      </c>
      <c r="E115">
        <v>2</v>
      </c>
      <c r="F115">
        <v>23.95</v>
      </c>
      <c r="G115">
        <v>2.5499999999999998</v>
      </c>
    </row>
    <row r="116" spans="1:7" x14ac:dyDescent="0.35">
      <c r="A116" t="s">
        <v>7</v>
      </c>
      <c r="B116" t="s">
        <v>8</v>
      </c>
      <c r="C116" t="s">
        <v>9</v>
      </c>
      <c r="D116" t="s">
        <v>10</v>
      </c>
      <c r="E116">
        <v>3</v>
      </c>
      <c r="F116">
        <v>25.71</v>
      </c>
      <c r="G116">
        <v>4</v>
      </c>
    </row>
    <row r="117" spans="1:7" x14ac:dyDescent="0.35">
      <c r="A117" t="s">
        <v>7</v>
      </c>
      <c r="B117" t="s">
        <v>8</v>
      </c>
      <c r="C117" t="s">
        <v>9</v>
      </c>
      <c r="D117" t="s">
        <v>10</v>
      </c>
      <c r="E117">
        <v>2</v>
      </c>
      <c r="F117">
        <v>17.309999999999999</v>
      </c>
      <c r="G117">
        <v>3.5</v>
      </c>
    </row>
    <row r="118" spans="1:7" x14ac:dyDescent="0.35">
      <c r="A118" t="s">
        <v>11</v>
      </c>
      <c r="B118" t="s">
        <v>8</v>
      </c>
      <c r="C118" t="s">
        <v>9</v>
      </c>
      <c r="D118" t="s">
        <v>10</v>
      </c>
      <c r="E118">
        <v>4</v>
      </c>
      <c r="F118">
        <v>29.93</v>
      </c>
      <c r="G118">
        <v>5.07</v>
      </c>
    </row>
    <row r="119" spans="1:7" x14ac:dyDescent="0.35">
      <c r="A119" t="s">
        <v>7</v>
      </c>
      <c r="B119" t="s">
        <v>8</v>
      </c>
      <c r="C119" t="s">
        <v>23</v>
      </c>
      <c r="D119" t="s">
        <v>24</v>
      </c>
      <c r="E119">
        <v>2</v>
      </c>
      <c r="F119">
        <v>10.65</v>
      </c>
      <c r="G119">
        <v>1.5</v>
      </c>
    </row>
    <row r="120" spans="1:7" x14ac:dyDescent="0.35">
      <c r="A120" t="s">
        <v>7</v>
      </c>
      <c r="B120" t="s">
        <v>8</v>
      </c>
      <c r="C120" t="s">
        <v>23</v>
      </c>
      <c r="D120" t="s">
        <v>24</v>
      </c>
      <c r="E120">
        <v>2</v>
      </c>
      <c r="F120">
        <v>12.43</v>
      </c>
      <c r="G120">
        <v>1.8</v>
      </c>
    </row>
    <row r="121" spans="1:7" x14ac:dyDescent="0.35">
      <c r="A121" t="s">
        <v>7</v>
      </c>
      <c r="B121" t="s">
        <v>8</v>
      </c>
      <c r="C121" t="s">
        <v>23</v>
      </c>
      <c r="D121" t="s">
        <v>24</v>
      </c>
      <c r="E121">
        <v>4</v>
      </c>
      <c r="F121">
        <v>24.08</v>
      </c>
      <c r="G121">
        <v>2.92</v>
      </c>
    </row>
    <row r="122" spans="1:7" x14ac:dyDescent="0.35">
      <c r="A122" t="s">
        <v>11</v>
      </c>
      <c r="B122" t="s">
        <v>8</v>
      </c>
      <c r="C122" t="s">
        <v>23</v>
      </c>
      <c r="D122" t="s">
        <v>24</v>
      </c>
      <c r="E122">
        <v>2</v>
      </c>
      <c r="F122">
        <v>11.69</v>
      </c>
      <c r="G122">
        <v>2.31</v>
      </c>
    </row>
    <row r="123" spans="1:7" x14ac:dyDescent="0.35">
      <c r="A123" t="s">
        <v>7</v>
      </c>
      <c r="B123" t="s">
        <v>8</v>
      </c>
      <c r="C123" t="s">
        <v>23</v>
      </c>
      <c r="D123" t="s">
        <v>24</v>
      </c>
      <c r="E123">
        <v>2</v>
      </c>
      <c r="F123">
        <v>13.42</v>
      </c>
      <c r="G123">
        <v>1.68</v>
      </c>
    </row>
    <row r="124" spans="1:7" x14ac:dyDescent="0.35">
      <c r="A124" t="s">
        <v>11</v>
      </c>
      <c r="B124" t="s">
        <v>8</v>
      </c>
      <c r="C124" t="s">
        <v>23</v>
      </c>
      <c r="D124" t="s">
        <v>24</v>
      </c>
      <c r="E124">
        <v>2</v>
      </c>
      <c r="F124">
        <v>14.26</v>
      </c>
      <c r="G124">
        <v>2.5</v>
      </c>
    </row>
    <row r="125" spans="1:7" x14ac:dyDescent="0.35">
      <c r="A125" t="s">
        <v>11</v>
      </c>
      <c r="B125" t="s">
        <v>8</v>
      </c>
      <c r="C125" t="s">
        <v>23</v>
      </c>
      <c r="D125" t="s">
        <v>24</v>
      </c>
      <c r="E125">
        <v>2</v>
      </c>
      <c r="F125">
        <v>15.95</v>
      </c>
      <c r="G125">
        <v>2</v>
      </c>
    </row>
    <row r="126" spans="1:7" x14ac:dyDescent="0.35">
      <c r="A126" t="s">
        <v>7</v>
      </c>
      <c r="B126" t="s">
        <v>8</v>
      </c>
      <c r="C126" t="s">
        <v>23</v>
      </c>
      <c r="D126" t="s">
        <v>24</v>
      </c>
      <c r="E126">
        <v>2</v>
      </c>
      <c r="F126">
        <v>12.48</v>
      </c>
      <c r="G126">
        <v>2.52</v>
      </c>
    </row>
    <row r="127" spans="1:7" x14ac:dyDescent="0.35">
      <c r="A127" t="s">
        <v>7</v>
      </c>
      <c r="B127" t="s">
        <v>8</v>
      </c>
      <c r="C127" t="s">
        <v>23</v>
      </c>
      <c r="D127" t="s">
        <v>24</v>
      </c>
      <c r="E127">
        <v>6</v>
      </c>
      <c r="F127">
        <v>29.8</v>
      </c>
      <c r="G127">
        <v>4.2</v>
      </c>
    </row>
    <row r="128" spans="1:7" x14ac:dyDescent="0.35">
      <c r="A128" t="s">
        <v>11</v>
      </c>
      <c r="B128" t="s">
        <v>8</v>
      </c>
      <c r="C128" t="s">
        <v>23</v>
      </c>
      <c r="D128" t="s">
        <v>24</v>
      </c>
      <c r="E128">
        <v>2</v>
      </c>
      <c r="F128">
        <v>8.52</v>
      </c>
      <c r="G128">
        <v>1.48</v>
      </c>
    </row>
    <row r="129" spans="1:7" x14ac:dyDescent="0.35">
      <c r="A129" t="s">
        <v>7</v>
      </c>
      <c r="B129" t="s">
        <v>8</v>
      </c>
      <c r="C129" t="s">
        <v>23</v>
      </c>
      <c r="D129" t="s">
        <v>24</v>
      </c>
      <c r="E129">
        <v>2</v>
      </c>
      <c r="F129">
        <v>14.52</v>
      </c>
      <c r="G129">
        <v>2</v>
      </c>
    </row>
    <row r="130" spans="1:7" x14ac:dyDescent="0.35">
      <c r="A130" t="s">
        <v>7</v>
      </c>
      <c r="B130" t="s">
        <v>8</v>
      </c>
      <c r="C130" t="s">
        <v>23</v>
      </c>
      <c r="D130" t="s">
        <v>24</v>
      </c>
      <c r="E130">
        <v>2</v>
      </c>
      <c r="F130">
        <v>11.38</v>
      </c>
      <c r="G130">
        <v>2</v>
      </c>
    </row>
    <row r="131" spans="1:7" x14ac:dyDescent="0.35">
      <c r="A131" t="s">
        <v>11</v>
      </c>
      <c r="B131" t="s">
        <v>8</v>
      </c>
      <c r="C131" t="s">
        <v>23</v>
      </c>
      <c r="D131" t="s">
        <v>24</v>
      </c>
      <c r="E131">
        <v>3</v>
      </c>
      <c r="F131">
        <v>22.82</v>
      </c>
      <c r="G131">
        <v>2.1800000000000002</v>
      </c>
    </row>
    <row r="132" spans="1:7" x14ac:dyDescent="0.35">
      <c r="A132" t="s">
        <v>11</v>
      </c>
      <c r="B132" t="s">
        <v>8</v>
      </c>
      <c r="C132" t="s">
        <v>23</v>
      </c>
      <c r="D132" t="s">
        <v>24</v>
      </c>
      <c r="E132">
        <v>2</v>
      </c>
      <c r="F132">
        <v>19.079999999999998</v>
      </c>
      <c r="G132">
        <v>1.5</v>
      </c>
    </row>
    <row r="133" spans="1:7" x14ac:dyDescent="0.35">
      <c r="A133" t="s">
        <v>7</v>
      </c>
      <c r="B133" t="s">
        <v>8</v>
      </c>
      <c r="C133" t="s">
        <v>23</v>
      </c>
      <c r="D133" t="s">
        <v>24</v>
      </c>
      <c r="E133">
        <v>2</v>
      </c>
      <c r="F133">
        <v>20.27</v>
      </c>
      <c r="G133">
        <v>2.83</v>
      </c>
    </row>
    <row r="134" spans="1:7" x14ac:dyDescent="0.35">
      <c r="A134" t="s">
        <v>7</v>
      </c>
      <c r="B134" t="s">
        <v>8</v>
      </c>
      <c r="C134" t="s">
        <v>23</v>
      </c>
      <c r="D134" t="s">
        <v>24</v>
      </c>
      <c r="E134">
        <v>2</v>
      </c>
      <c r="F134">
        <v>11.17</v>
      </c>
      <c r="G134">
        <v>1.5</v>
      </c>
    </row>
    <row r="135" spans="1:7" x14ac:dyDescent="0.35">
      <c r="A135" t="s">
        <v>7</v>
      </c>
      <c r="B135" t="s">
        <v>8</v>
      </c>
      <c r="C135" t="s">
        <v>23</v>
      </c>
      <c r="D135" t="s">
        <v>24</v>
      </c>
      <c r="E135">
        <v>2</v>
      </c>
      <c r="F135">
        <v>12.26</v>
      </c>
      <c r="G135">
        <v>2</v>
      </c>
    </row>
    <row r="136" spans="1:7" x14ac:dyDescent="0.35">
      <c r="A136" t="s">
        <v>7</v>
      </c>
      <c r="B136" t="s">
        <v>8</v>
      </c>
      <c r="C136" t="s">
        <v>23</v>
      </c>
      <c r="D136" t="s">
        <v>24</v>
      </c>
      <c r="E136">
        <v>2</v>
      </c>
      <c r="F136">
        <v>18.260000000000002</v>
      </c>
      <c r="G136">
        <v>3.25</v>
      </c>
    </row>
    <row r="137" spans="1:7" x14ac:dyDescent="0.35">
      <c r="A137" t="s">
        <v>7</v>
      </c>
      <c r="B137" t="s">
        <v>8</v>
      </c>
      <c r="C137" t="s">
        <v>23</v>
      </c>
      <c r="D137" t="s">
        <v>24</v>
      </c>
      <c r="E137">
        <v>2</v>
      </c>
      <c r="F137">
        <v>8.51</v>
      </c>
      <c r="G137">
        <v>1.25</v>
      </c>
    </row>
    <row r="138" spans="1:7" x14ac:dyDescent="0.35">
      <c r="A138" t="s">
        <v>7</v>
      </c>
      <c r="B138" t="s">
        <v>8</v>
      </c>
      <c r="C138" t="s">
        <v>23</v>
      </c>
      <c r="D138" t="s">
        <v>24</v>
      </c>
      <c r="E138">
        <v>2</v>
      </c>
      <c r="F138">
        <v>10.33</v>
      </c>
      <c r="G138">
        <v>2</v>
      </c>
    </row>
    <row r="139" spans="1:7" x14ac:dyDescent="0.35">
      <c r="A139" t="s">
        <v>7</v>
      </c>
      <c r="B139" t="s">
        <v>8</v>
      </c>
      <c r="C139" t="s">
        <v>23</v>
      </c>
      <c r="D139" t="s">
        <v>24</v>
      </c>
      <c r="E139">
        <v>2</v>
      </c>
      <c r="F139">
        <v>14.15</v>
      </c>
      <c r="G139">
        <v>2</v>
      </c>
    </row>
    <row r="140" spans="1:7" x14ac:dyDescent="0.35">
      <c r="A140" t="s">
        <v>11</v>
      </c>
      <c r="B140" t="s">
        <v>22</v>
      </c>
      <c r="C140" t="s">
        <v>23</v>
      </c>
      <c r="D140" t="s">
        <v>24</v>
      </c>
      <c r="E140">
        <v>2</v>
      </c>
      <c r="F140">
        <v>16</v>
      </c>
      <c r="G140">
        <v>2</v>
      </c>
    </row>
    <row r="141" spans="1:7" x14ac:dyDescent="0.35">
      <c r="A141" t="s">
        <v>7</v>
      </c>
      <c r="B141" t="s">
        <v>8</v>
      </c>
      <c r="C141" t="s">
        <v>23</v>
      </c>
      <c r="D141" t="s">
        <v>24</v>
      </c>
      <c r="E141">
        <v>2</v>
      </c>
      <c r="F141">
        <v>13.16</v>
      </c>
      <c r="G141">
        <v>2.75</v>
      </c>
    </row>
    <row r="142" spans="1:7" x14ac:dyDescent="0.35">
      <c r="A142" t="s">
        <v>7</v>
      </c>
      <c r="B142" t="s">
        <v>8</v>
      </c>
      <c r="C142" t="s">
        <v>23</v>
      </c>
      <c r="D142" t="s">
        <v>24</v>
      </c>
      <c r="E142">
        <v>2</v>
      </c>
      <c r="F142">
        <v>17.47</v>
      </c>
      <c r="G142">
        <v>3.5</v>
      </c>
    </row>
    <row r="143" spans="1:7" x14ac:dyDescent="0.35">
      <c r="A143" t="s">
        <v>11</v>
      </c>
      <c r="B143" t="s">
        <v>8</v>
      </c>
      <c r="C143" t="s">
        <v>23</v>
      </c>
      <c r="D143" t="s">
        <v>24</v>
      </c>
      <c r="E143">
        <v>6</v>
      </c>
      <c r="F143">
        <v>34.299999999999997</v>
      </c>
      <c r="G143">
        <v>6.7</v>
      </c>
    </row>
    <row r="144" spans="1:7" x14ac:dyDescent="0.35">
      <c r="A144" t="s">
        <v>11</v>
      </c>
      <c r="B144" t="s">
        <v>8</v>
      </c>
      <c r="C144" t="s">
        <v>23</v>
      </c>
      <c r="D144" t="s">
        <v>24</v>
      </c>
      <c r="E144">
        <v>5</v>
      </c>
      <c r="F144">
        <v>41.19</v>
      </c>
      <c r="G144">
        <v>5</v>
      </c>
    </row>
    <row r="145" spans="1:7" x14ac:dyDescent="0.35">
      <c r="A145" t="s">
        <v>7</v>
      </c>
      <c r="B145" t="s">
        <v>8</v>
      </c>
      <c r="C145" t="s">
        <v>23</v>
      </c>
      <c r="D145" t="s">
        <v>24</v>
      </c>
      <c r="E145">
        <v>6</v>
      </c>
      <c r="F145">
        <v>27.05</v>
      </c>
      <c r="G145">
        <v>5</v>
      </c>
    </row>
    <row r="146" spans="1:7" x14ac:dyDescent="0.35">
      <c r="A146" t="s">
        <v>7</v>
      </c>
      <c r="B146" t="s">
        <v>8</v>
      </c>
      <c r="C146" t="s">
        <v>23</v>
      </c>
      <c r="D146" t="s">
        <v>24</v>
      </c>
      <c r="E146">
        <v>2</v>
      </c>
      <c r="F146">
        <v>16.43</v>
      </c>
      <c r="G146">
        <v>2.2999999999999998</v>
      </c>
    </row>
    <row r="147" spans="1:7" x14ac:dyDescent="0.35">
      <c r="A147" t="s">
        <v>7</v>
      </c>
      <c r="B147" t="s">
        <v>8</v>
      </c>
      <c r="C147" t="s">
        <v>23</v>
      </c>
      <c r="D147" t="s">
        <v>24</v>
      </c>
      <c r="E147">
        <v>2</v>
      </c>
      <c r="F147">
        <v>8.35</v>
      </c>
      <c r="G147">
        <v>1.5</v>
      </c>
    </row>
    <row r="148" spans="1:7" x14ac:dyDescent="0.35">
      <c r="A148" t="s">
        <v>7</v>
      </c>
      <c r="B148" t="s">
        <v>8</v>
      </c>
      <c r="C148" t="s">
        <v>23</v>
      </c>
      <c r="D148" t="s">
        <v>24</v>
      </c>
      <c r="E148">
        <v>3</v>
      </c>
      <c r="F148">
        <v>18.64</v>
      </c>
      <c r="G148">
        <v>1.36</v>
      </c>
    </row>
    <row r="149" spans="1:7" x14ac:dyDescent="0.35">
      <c r="A149" t="s">
        <v>7</v>
      </c>
      <c r="B149" t="s">
        <v>8</v>
      </c>
      <c r="C149" t="s">
        <v>23</v>
      </c>
      <c r="D149" t="s">
        <v>24</v>
      </c>
      <c r="E149">
        <v>2</v>
      </c>
      <c r="F149">
        <v>11.87</v>
      </c>
      <c r="G149">
        <v>1.63</v>
      </c>
    </row>
    <row r="150" spans="1:7" x14ac:dyDescent="0.35">
      <c r="A150" t="s">
        <v>11</v>
      </c>
      <c r="B150" t="s">
        <v>8</v>
      </c>
      <c r="C150" t="s">
        <v>23</v>
      </c>
      <c r="D150" t="s">
        <v>24</v>
      </c>
      <c r="E150">
        <v>2</v>
      </c>
      <c r="F150">
        <v>9.7799999999999994</v>
      </c>
      <c r="G150">
        <v>1.73</v>
      </c>
    </row>
    <row r="151" spans="1:7" x14ac:dyDescent="0.35">
      <c r="A151" t="s">
        <v>11</v>
      </c>
      <c r="B151" t="s">
        <v>8</v>
      </c>
      <c r="C151" t="s">
        <v>23</v>
      </c>
      <c r="D151" t="s">
        <v>24</v>
      </c>
      <c r="E151">
        <v>2</v>
      </c>
      <c r="F151">
        <v>7.51</v>
      </c>
      <c r="G151">
        <v>2</v>
      </c>
    </row>
    <row r="152" spans="1:7" x14ac:dyDescent="0.35">
      <c r="A152" t="s">
        <v>11</v>
      </c>
      <c r="B152" t="s">
        <v>8</v>
      </c>
      <c r="C152" t="s">
        <v>9</v>
      </c>
      <c r="D152" t="s">
        <v>10</v>
      </c>
      <c r="E152">
        <v>2</v>
      </c>
      <c r="F152">
        <v>14.07</v>
      </c>
      <c r="G152">
        <v>2.5</v>
      </c>
    </row>
    <row r="153" spans="1:7" x14ac:dyDescent="0.35">
      <c r="A153" t="s">
        <v>11</v>
      </c>
      <c r="B153" t="s">
        <v>8</v>
      </c>
      <c r="C153" t="s">
        <v>9</v>
      </c>
      <c r="D153" t="s">
        <v>10</v>
      </c>
      <c r="E153">
        <v>2</v>
      </c>
      <c r="F153">
        <v>13.13</v>
      </c>
      <c r="G153">
        <v>2</v>
      </c>
    </row>
    <row r="154" spans="1:7" x14ac:dyDescent="0.35">
      <c r="A154" t="s">
        <v>11</v>
      </c>
      <c r="B154" t="s">
        <v>8</v>
      </c>
      <c r="C154" t="s">
        <v>9</v>
      </c>
      <c r="D154" t="s">
        <v>10</v>
      </c>
      <c r="E154">
        <v>3</v>
      </c>
      <c r="F154">
        <v>17.260000000000002</v>
      </c>
      <c r="G154">
        <v>2.74</v>
      </c>
    </row>
    <row r="155" spans="1:7" x14ac:dyDescent="0.35">
      <c r="A155" t="s">
        <v>11</v>
      </c>
      <c r="B155" t="s">
        <v>8</v>
      </c>
      <c r="C155" t="s">
        <v>9</v>
      </c>
      <c r="D155" t="s">
        <v>10</v>
      </c>
      <c r="E155">
        <v>4</v>
      </c>
      <c r="F155">
        <v>24.55</v>
      </c>
      <c r="G155">
        <v>2</v>
      </c>
    </row>
    <row r="156" spans="1:7" x14ac:dyDescent="0.35">
      <c r="A156" t="s">
        <v>11</v>
      </c>
      <c r="B156" t="s">
        <v>8</v>
      </c>
      <c r="C156" t="s">
        <v>9</v>
      </c>
      <c r="D156" t="s">
        <v>10</v>
      </c>
      <c r="E156">
        <v>4</v>
      </c>
      <c r="F156">
        <v>19.77</v>
      </c>
      <c r="G156">
        <v>2</v>
      </c>
    </row>
    <row r="157" spans="1:7" x14ac:dyDescent="0.35">
      <c r="A157" t="s">
        <v>7</v>
      </c>
      <c r="B157" t="s">
        <v>8</v>
      </c>
      <c r="C157" t="s">
        <v>9</v>
      </c>
      <c r="D157" t="s">
        <v>10</v>
      </c>
      <c r="E157">
        <v>5</v>
      </c>
      <c r="F157">
        <v>29.85</v>
      </c>
      <c r="G157">
        <v>5.14</v>
      </c>
    </row>
    <row r="158" spans="1:7" x14ac:dyDescent="0.35">
      <c r="A158" t="s">
        <v>11</v>
      </c>
      <c r="B158" t="s">
        <v>8</v>
      </c>
      <c r="C158" t="s">
        <v>9</v>
      </c>
      <c r="D158" t="s">
        <v>10</v>
      </c>
      <c r="E158">
        <v>6</v>
      </c>
      <c r="F158">
        <v>48.17</v>
      </c>
      <c r="G158">
        <v>5</v>
      </c>
    </row>
    <row r="159" spans="1:7" x14ac:dyDescent="0.35">
      <c r="A159" t="s">
        <v>7</v>
      </c>
      <c r="B159" t="s">
        <v>8</v>
      </c>
      <c r="C159" t="s">
        <v>9</v>
      </c>
      <c r="D159" t="s">
        <v>10</v>
      </c>
      <c r="E159">
        <v>4</v>
      </c>
      <c r="F159">
        <v>25</v>
      </c>
      <c r="G159">
        <v>3.75</v>
      </c>
    </row>
    <row r="160" spans="1:7" x14ac:dyDescent="0.35">
      <c r="A160" t="s">
        <v>7</v>
      </c>
      <c r="B160" t="s">
        <v>8</v>
      </c>
      <c r="C160" t="s">
        <v>9</v>
      </c>
      <c r="D160" t="s">
        <v>10</v>
      </c>
      <c r="E160">
        <v>2</v>
      </c>
      <c r="F160">
        <v>13.39</v>
      </c>
      <c r="G160">
        <v>2.61</v>
      </c>
    </row>
    <row r="161" spans="1:7" x14ac:dyDescent="0.35">
      <c r="A161" t="s">
        <v>11</v>
      </c>
      <c r="B161" t="s">
        <v>8</v>
      </c>
      <c r="C161" t="s">
        <v>9</v>
      </c>
      <c r="D161" t="s">
        <v>10</v>
      </c>
      <c r="E161">
        <v>4</v>
      </c>
      <c r="F161">
        <v>16.489999999999998</v>
      </c>
      <c r="G161">
        <v>2</v>
      </c>
    </row>
    <row r="162" spans="1:7" x14ac:dyDescent="0.35">
      <c r="A162" t="s">
        <v>11</v>
      </c>
      <c r="B162" t="s">
        <v>8</v>
      </c>
      <c r="C162" t="s">
        <v>9</v>
      </c>
      <c r="D162" t="s">
        <v>10</v>
      </c>
      <c r="E162">
        <v>4</v>
      </c>
      <c r="F162">
        <v>21.5</v>
      </c>
      <c r="G162">
        <v>3.5</v>
      </c>
    </row>
    <row r="163" spans="1:7" x14ac:dyDescent="0.35">
      <c r="A163" t="s">
        <v>11</v>
      </c>
      <c r="B163" t="s">
        <v>8</v>
      </c>
      <c r="C163" t="s">
        <v>9</v>
      </c>
      <c r="D163" t="s">
        <v>10</v>
      </c>
      <c r="E163">
        <v>2</v>
      </c>
      <c r="F163">
        <v>12.66</v>
      </c>
      <c r="G163">
        <v>2.5</v>
      </c>
    </row>
    <row r="164" spans="1:7" x14ac:dyDescent="0.35">
      <c r="A164" t="s">
        <v>7</v>
      </c>
      <c r="B164" t="s">
        <v>8</v>
      </c>
      <c r="C164" t="s">
        <v>9</v>
      </c>
      <c r="D164" t="s">
        <v>10</v>
      </c>
      <c r="E164">
        <v>3</v>
      </c>
      <c r="F164">
        <v>16.21</v>
      </c>
      <c r="G164">
        <v>2</v>
      </c>
    </row>
    <row r="165" spans="1:7" x14ac:dyDescent="0.35">
      <c r="A165" t="s">
        <v>11</v>
      </c>
      <c r="B165" t="s">
        <v>8</v>
      </c>
      <c r="C165" t="s">
        <v>9</v>
      </c>
      <c r="D165" t="s">
        <v>10</v>
      </c>
      <c r="E165">
        <v>2</v>
      </c>
      <c r="F165">
        <v>13.81</v>
      </c>
      <c r="G165">
        <v>2</v>
      </c>
    </row>
    <row r="166" spans="1:7" x14ac:dyDescent="0.35">
      <c r="A166" t="s">
        <v>7</v>
      </c>
      <c r="B166" t="s">
        <v>22</v>
      </c>
      <c r="C166" t="s">
        <v>9</v>
      </c>
      <c r="D166" t="s">
        <v>10</v>
      </c>
      <c r="E166">
        <v>2</v>
      </c>
      <c r="F166">
        <v>17.510000000000002</v>
      </c>
      <c r="G166">
        <v>3</v>
      </c>
    </row>
    <row r="167" spans="1:7" x14ac:dyDescent="0.35">
      <c r="A167" t="s">
        <v>11</v>
      </c>
      <c r="B167" t="s">
        <v>8</v>
      </c>
      <c r="C167" t="s">
        <v>9</v>
      </c>
      <c r="D167" t="s">
        <v>10</v>
      </c>
      <c r="E167">
        <v>3</v>
      </c>
      <c r="F167">
        <v>24.52</v>
      </c>
      <c r="G167">
        <v>3.48</v>
      </c>
    </row>
    <row r="168" spans="1:7" x14ac:dyDescent="0.35">
      <c r="A168" t="s">
        <v>11</v>
      </c>
      <c r="B168" t="s">
        <v>8</v>
      </c>
      <c r="C168" t="s">
        <v>9</v>
      </c>
      <c r="D168" t="s">
        <v>10</v>
      </c>
      <c r="E168">
        <v>2</v>
      </c>
      <c r="F168">
        <v>20.76</v>
      </c>
      <c r="G168">
        <v>2.2400000000000002</v>
      </c>
    </row>
    <row r="169" spans="1:7" x14ac:dyDescent="0.35">
      <c r="A169" t="s">
        <v>11</v>
      </c>
      <c r="B169" t="s">
        <v>8</v>
      </c>
      <c r="C169" t="s">
        <v>9</v>
      </c>
      <c r="D169" t="s">
        <v>10</v>
      </c>
      <c r="E169">
        <v>4</v>
      </c>
      <c r="F169">
        <v>31.71</v>
      </c>
      <c r="G169">
        <v>4.5</v>
      </c>
    </row>
    <row r="170" spans="1:7" x14ac:dyDescent="0.35">
      <c r="A170" t="s">
        <v>7</v>
      </c>
      <c r="B170" t="s">
        <v>22</v>
      </c>
      <c r="C170" t="s">
        <v>21</v>
      </c>
      <c r="D170" t="s">
        <v>10</v>
      </c>
      <c r="E170">
        <v>2</v>
      </c>
      <c r="F170">
        <v>10.59</v>
      </c>
      <c r="G170">
        <v>1.61</v>
      </c>
    </row>
    <row r="171" spans="1:7" x14ac:dyDescent="0.35">
      <c r="A171" t="s">
        <v>7</v>
      </c>
      <c r="B171" t="s">
        <v>22</v>
      </c>
      <c r="C171" t="s">
        <v>21</v>
      </c>
      <c r="D171" t="s">
        <v>10</v>
      </c>
      <c r="E171">
        <v>2</v>
      </c>
      <c r="F171">
        <v>10.63</v>
      </c>
      <c r="G171">
        <v>2</v>
      </c>
    </row>
    <row r="172" spans="1:7" x14ac:dyDescent="0.35">
      <c r="A172" t="s">
        <v>11</v>
      </c>
      <c r="B172" t="s">
        <v>22</v>
      </c>
      <c r="C172" t="s">
        <v>21</v>
      </c>
      <c r="D172" t="s">
        <v>10</v>
      </c>
      <c r="E172">
        <v>3</v>
      </c>
      <c r="F172">
        <v>50.81</v>
      </c>
      <c r="G172">
        <v>10</v>
      </c>
    </row>
    <row r="173" spans="1:7" x14ac:dyDescent="0.35">
      <c r="A173" t="s">
        <v>11</v>
      </c>
      <c r="B173" t="s">
        <v>22</v>
      </c>
      <c r="C173" t="s">
        <v>21</v>
      </c>
      <c r="D173" t="s">
        <v>10</v>
      </c>
      <c r="E173">
        <v>2</v>
      </c>
      <c r="F173">
        <v>15.81</v>
      </c>
      <c r="G173">
        <v>3.16</v>
      </c>
    </row>
    <row r="174" spans="1:7" x14ac:dyDescent="0.35">
      <c r="A174" t="s">
        <v>11</v>
      </c>
      <c r="B174" t="s">
        <v>22</v>
      </c>
      <c r="C174" t="s">
        <v>9</v>
      </c>
      <c r="D174" t="s">
        <v>10</v>
      </c>
      <c r="E174">
        <v>2</v>
      </c>
      <c r="F174">
        <v>7.25</v>
      </c>
      <c r="G174">
        <v>5.15</v>
      </c>
    </row>
    <row r="175" spans="1:7" x14ac:dyDescent="0.35">
      <c r="A175" t="s">
        <v>11</v>
      </c>
      <c r="B175" t="s">
        <v>22</v>
      </c>
      <c r="C175" t="s">
        <v>9</v>
      </c>
      <c r="D175" t="s">
        <v>10</v>
      </c>
      <c r="E175">
        <v>2</v>
      </c>
      <c r="F175">
        <v>31.85</v>
      </c>
      <c r="G175">
        <v>3.18</v>
      </c>
    </row>
    <row r="176" spans="1:7" x14ac:dyDescent="0.35">
      <c r="A176" t="s">
        <v>11</v>
      </c>
      <c r="B176" t="s">
        <v>22</v>
      </c>
      <c r="C176" t="s">
        <v>9</v>
      </c>
      <c r="D176" t="s">
        <v>10</v>
      </c>
      <c r="E176">
        <v>2</v>
      </c>
      <c r="F176">
        <v>16.82</v>
      </c>
      <c r="G176">
        <v>4</v>
      </c>
    </row>
    <row r="177" spans="1:7" x14ac:dyDescent="0.35">
      <c r="A177" t="s">
        <v>11</v>
      </c>
      <c r="B177" t="s">
        <v>22</v>
      </c>
      <c r="C177" t="s">
        <v>9</v>
      </c>
      <c r="D177" t="s">
        <v>10</v>
      </c>
      <c r="E177">
        <v>2</v>
      </c>
      <c r="F177">
        <v>32.9</v>
      </c>
      <c r="G177">
        <v>3.11</v>
      </c>
    </row>
    <row r="178" spans="1:7" x14ac:dyDescent="0.35">
      <c r="A178" t="s">
        <v>11</v>
      </c>
      <c r="B178" t="s">
        <v>22</v>
      </c>
      <c r="C178" t="s">
        <v>9</v>
      </c>
      <c r="D178" t="s">
        <v>10</v>
      </c>
      <c r="E178">
        <v>2</v>
      </c>
      <c r="F178">
        <v>17.89</v>
      </c>
      <c r="G178">
        <v>2</v>
      </c>
    </row>
    <row r="179" spans="1:7" x14ac:dyDescent="0.35">
      <c r="A179" t="s">
        <v>11</v>
      </c>
      <c r="B179" t="s">
        <v>22</v>
      </c>
      <c r="C179" t="s">
        <v>9</v>
      </c>
      <c r="D179" t="s">
        <v>10</v>
      </c>
      <c r="E179">
        <v>2</v>
      </c>
      <c r="F179">
        <v>14.48</v>
      </c>
      <c r="G179">
        <v>2</v>
      </c>
    </row>
    <row r="180" spans="1:7" x14ac:dyDescent="0.35">
      <c r="A180" t="s">
        <v>7</v>
      </c>
      <c r="B180" t="s">
        <v>22</v>
      </c>
      <c r="C180" t="s">
        <v>9</v>
      </c>
      <c r="D180" t="s">
        <v>10</v>
      </c>
      <c r="E180">
        <v>2</v>
      </c>
      <c r="F180">
        <v>9.6</v>
      </c>
      <c r="G180">
        <v>4</v>
      </c>
    </row>
    <row r="181" spans="1:7" x14ac:dyDescent="0.35">
      <c r="A181" t="s">
        <v>11</v>
      </c>
      <c r="B181" t="s">
        <v>22</v>
      </c>
      <c r="C181" t="s">
        <v>9</v>
      </c>
      <c r="D181" t="s">
        <v>10</v>
      </c>
      <c r="E181">
        <v>2</v>
      </c>
      <c r="F181">
        <v>34.630000000000003</v>
      </c>
      <c r="G181">
        <v>3.55</v>
      </c>
    </row>
    <row r="182" spans="1:7" x14ac:dyDescent="0.35">
      <c r="A182" t="s">
        <v>11</v>
      </c>
      <c r="B182" t="s">
        <v>22</v>
      </c>
      <c r="C182" t="s">
        <v>9</v>
      </c>
      <c r="D182" t="s">
        <v>10</v>
      </c>
      <c r="E182">
        <v>4</v>
      </c>
      <c r="F182">
        <v>34.65</v>
      </c>
      <c r="G182">
        <v>3.68</v>
      </c>
    </row>
    <row r="183" spans="1:7" x14ac:dyDescent="0.35">
      <c r="A183" t="s">
        <v>11</v>
      </c>
      <c r="B183" t="s">
        <v>22</v>
      </c>
      <c r="C183" t="s">
        <v>9</v>
      </c>
      <c r="D183" t="s">
        <v>10</v>
      </c>
      <c r="E183">
        <v>2</v>
      </c>
      <c r="F183">
        <v>23.33</v>
      </c>
      <c r="G183">
        <v>5.65</v>
      </c>
    </row>
    <row r="184" spans="1:7" x14ac:dyDescent="0.35">
      <c r="A184" t="s">
        <v>11</v>
      </c>
      <c r="B184" t="s">
        <v>22</v>
      </c>
      <c r="C184" t="s">
        <v>9</v>
      </c>
      <c r="D184" t="s">
        <v>10</v>
      </c>
      <c r="E184">
        <v>3</v>
      </c>
      <c r="F184">
        <v>45.35</v>
      </c>
      <c r="G184">
        <v>3.5</v>
      </c>
    </row>
    <row r="185" spans="1:7" x14ac:dyDescent="0.35">
      <c r="A185" t="s">
        <v>11</v>
      </c>
      <c r="B185" t="s">
        <v>22</v>
      </c>
      <c r="C185" t="s">
        <v>9</v>
      </c>
      <c r="D185" t="s">
        <v>10</v>
      </c>
      <c r="E185">
        <v>4</v>
      </c>
      <c r="F185">
        <v>23.17</v>
      </c>
      <c r="G185">
        <v>6.5</v>
      </c>
    </row>
    <row r="186" spans="1:7" x14ac:dyDescent="0.35">
      <c r="A186" t="s">
        <v>11</v>
      </c>
      <c r="B186" t="s">
        <v>22</v>
      </c>
      <c r="C186" t="s">
        <v>9</v>
      </c>
      <c r="D186" t="s">
        <v>10</v>
      </c>
      <c r="E186">
        <v>2</v>
      </c>
      <c r="F186">
        <v>40.549999999999997</v>
      </c>
      <c r="G186">
        <v>3</v>
      </c>
    </row>
    <row r="187" spans="1:7" x14ac:dyDescent="0.35">
      <c r="A187" t="s">
        <v>11</v>
      </c>
      <c r="B187" t="s">
        <v>8</v>
      </c>
      <c r="C187" t="s">
        <v>9</v>
      </c>
      <c r="D187" t="s">
        <v>10</v>
      </c>
      <c r="E187">
        <v>5</v>
      </c>
      <c r="F187">
        <v>20.69</v>
      </c>
      <c r="G187">
        <v>5</v>
      </c>
    </row>
    <row r="188" spans="1:7" x14ac:dyDescent="0.35">
      <c r="A188" t="s">
        <v>7</v>
      </c>
      <c r="B188" t="s">
        <v>22</v>
      </c>
      <c r="C188" t="s">
        <v>9</v>
      </c>
      <c r="D188" t="s">
        <v>10</v>
      </c>
      <c r="E188">
        <v>3</v>
      </c>
      <c r="F188">
        <v>20.9</v>
      </c>
      <c r="G188">
        <v>3.5</v>
      </c>
    </row>
    <row r="189" spans="1:7" x14ac:dyDescent="0.35">
      <c r="A189" t="s">
        <v>11</v>
      </c>
      <c r="B189" t="s">
        <v>22</v>
      </c>
      <c r="C189" t="s">
        <v>9</v>
      </c>
      <c r="D189" t="s">
        <v>10</v>
      </c>
      <c r="E189">
        <v>5</v>
      </c>
      <c r="F189">
        <v>30.46</v>
      </c>
      <c r="G189">
        <v>2</v>
      </c>
    </row>
    <row r="190" spans="1:7" x14ac:dyDescent="0.35">
      <c r="A190" t="s">
        <v>7</v>
      </c>
      <c r="B190" t="s">
        <v>22</v>
      </c>
      <c r="C190" t="s">
        <v>9</v>
      </c>
      <c r="D190" t="s">
        <v>10</v>
      </c>
      <c r="E190">
        <v>3</v>
      </c>
      <c r="F190">
        <v>18.149999999999999</v>
      </c>
      <c r="G190">
        <v>3.5</v>
      </c>
    </row>
    <row r="191" spans="1:7" x14ac:dyDescent="0.35">
      <c r="A191" t="s">
        <v>11</v>
      </c>
      <c r="B191" t="s">
        <v>22</v>
      </c>
      <c r="C191" t="s">
        <v>9</v>
      </c>
      <c r="D191" t="s">
        <v>10</v>
      </c>
      <c r="E191">
        <v>3</v>
      </c>
      <c r="F191">
        <v>23.1</v>
      </c>
      <c r="G191">
        <v>4</v>
      </c>
    </row>
    <row r="192" spans="1:7" x14ac:dyDescent="0.35">
      <c r="A192" t="s">
        <v>11</v>
      </c>
      <c r="B192" t="s">
        <v>22</v>
      </c>
      <c r="C192" t="s">
        <v>9</v>
      </c>
      <c r="D192" t="s">
        <v>10</v>
      </c>
      <c r="E192">
        <v>2</v>
      </c>
      <c r="F192">
        <v>15.69</v>
      </c>
      <c r="G192">
        <v>1.5</v>
      </c>
    </row>
    <row r="193" spans="1:7" x14ac:dyDescent="0.35">
      <c r="A193" t="s">
        <v>7</v>
      </c>
      <c r="B193" t="s">
        <v>22</v>
      </c>
      <c r="C193" t="s">
        <v>23</v>
      </c>
      <c r="D193" t="s">
        <v>24</v>
      </c>
      <c r="E193">
        <v>2</v>
      </c>
      <c r="F193">
        <v>19.809999999999999</v>
      </c>
      <c r="G193">
        <v>4.1900000000000004</v>
      </c>
    </row>
    <row r="194" spans="1:7" x14ac:dyDescent="0.35">
      <c r="A194" t="s">
        <v>11</v>
      </c>
      <c r="B194" t="s">
        <v>22</v>
      </c>
      <c r="C194" t="s">
        <v>23</v>
      </c>
      <c r="D194" t="s">
        <v>24</v>
      </c>
      <c r="E194">
        <v>2</v>
      </c>
      <c r="F194">
        <v>28.44</v>
      </c>
      <c r="G194">
        <v>2.56</v>
      </c>
    </row>
    <row r="195" spans="1:7" x14ac:dyDescent="0.35">
      <c r="A195" t="s">
        <v>11</v>
      </c>
      <c r="B195" t="s">
        <v>22</v>
      </c>
      <c r="C195" t="s">
        <v>23</v>
      </c>
      <c r="D195" t="s">
        <v>24</v>
      </c>
      <c r="E195">
        <v>2</v>
      </c>
      <c r="F195">
        <v>15.48</v>
      </c>
      <c r="G195">
        <v>2.02</v>
      </c>
    </row>
    <row r="196" spans="1:7" x14ac:dyDescent="0.35">
      <c r="A196" t="s">
        <v>11</v>
      </c>
      <c r="B196" t="s">
        <v>22</v>
      </c>
      <c r="C196" t="s">
        <v>23</v>
      </c>
      <c r="D196" t="s">
        <v>24</v>
      </c>
      <c r="E196">
        <v>2</v>
      </c>
      <c r="F196">
        <v>16.579999999999998</v>
      </c>
      <c r="G196">
        <v>4</v>
      </c>
    </row>
    <row r="197" spans="1:7" x14ac:dyDescent="0.35">
      <c r="A197" t="s">
        <v>11</v>
      </c>
      <c r="B197" t="s">
        <v>8</v>
      </c>
      <c r="C197" t="s">
        <v>23</v>
      </c>
      <c r="D197" t="s">
        <v>24</v>
      </c>
      <c r="E197">
        <v>2</v>
      </c>
      <c r="F197">
        <v>7.56</v>
      </c>
      <c r="G197">
        <v>1.44</v>
      </c>
    </row>
    <row r="198" spans="1:7" x14ac:dyDescent="0.35">
      <c r="A198" t="s">
        <v>11</v>
      </c>
      <c r="B198" t="s">
        <v>22</v>
      </c>
      <c r="C198" t="s">
        <v>23</v>
      </c>
      <c r="D198" t="s">
        <v>24</v>
      </c>
      <c r="E198">
        <v>2</v>
      </c>
      <c r="F198">
        <v>10.34</v>
      </c>
      <c r="G198">
        <v>2</v>
      </c>
    </row>
    <row r="199" spans="1:7" x14ac:dyDescent="0.35">
      <c r="A199" t="s">
        <v>7</v>
      </c>
      <c r="B199" t="s">
        <v>22</v>
      </c>
      <c r="C199" t="s">
        <v>23</v>
      </c>
      <c r="D199" t="s">
        <v>24</v>
      </c>
      <c r="E199">
        <v>4</v>
      </c>
      <c r="F199">
        <v>43.11</v>
      </c>
      <c r="G199">
        <v>5</v>
      </c>
    </row>
    <row r="200" spans="1:7" x14ac:dyDescent="0.35">
      <c r="A200" t="s">
        <v>7</v>
      </c>
      <c r="B200" t="s">
        <v>22</v>
      </c>
      <c r="C200" t="s">
        <v>23</v>
      </c>
      <c r="D200" t="s">
        <v>24</v>
      </c>
      <c r="E200">
        <v>2</v>
      </c>
      <c r="F200">
        <v>13</v>
      </c>
      <c r="G200">
        <v>2</v>
      </c>
    </row>
    <row r="201" spans="1:7" x14ac:dyDescent="0.35">
      <c r="A201" t="s">
        <v>11</v>
      </c>
      <c r="B201" t="s">
        <v>22</v>
      </c>
      <c r="C201" t="s">
        <v>23</v>
      </c>
      <c r="D201" t="s">
        <v>24</v>
      </c>
      <c r="E201">
        <v>2</v>
      </c>
      <c r="F201">
        <v>13.51</v>
      </c>
      <c r="G201">
        <v>2</v>
      </c>
    </row>
    <row r="202" spans="1:7" x14ac:dyDescent="0.35">
      <c r="A202" t="s">
        <v>11</v>
      </c>
      <c r="B202" t="s">
        <v>22</v>
      </c>
      <c r="C202" t="s">
        <v>23</v>
      </c>
      <c r="D202" t="s">
        <v>24</v>
      </c>
      <c r="E202">
        <v>3</v>
      </c>
      <c r="F202">
        <v>18.71</v>
      </c>
      <c r="G202">
        <v>4</v>
      </c>
    </row>
    <row r="203" spans="1:7" x14ac:dyDescent="0.35">
      <c r="A203" t="s">
        <v>7</v>
      </c>
      <c r="B203" t="s">
        <v>22</v>
      </c>
      <c r="C203" t="s">
        <v>23</v>
      </c>
      <c r="D203" t="s">
        <v>24</v>
      </c>
      <c r="E203">
        <v>2</v>
      </c>
      <c r="F203">
        <v>12.74</v>
      </c>
      <c r="G203">
        <v>2.0099999999999998</v>
      </c>
    </row>
    <row r="204" spans="1:7" x14ac:dyDescent="0.35">
      <c r="A204" t="s">
        <v>7</v>
      </c>
      <c r="B204" t="s">
        <v>22</v>
      </c>
      <c r="C204" t="s">
        <v>23</v>
      </c>
      <c r="D204" t="s">
        <v>24</v>
      </c>
      <c r="E204">
        <v>2</v>
      </c>
      <c r="F204">
        <v>16.399999999999999</v>
      </c>
      <c r="G204">
        <v>2.5</v>
      </c>
    </row>
    <row r="205" spans="1:7" x14ac:dyDescent="0.35">
      <c r="A205" t="s">
        <v>11</v>
      </c>
      <c r="B205" t="s">
        <v>22</v>
      </c>
      <c r="C205" t="s">
        <v>23</v>
      </c>
      <c r="D205" t="s">
        <v>24</v>
      </c>
      <c r="E205">
        <v>4</v>
      </c>
      <c r="F205">
        <v>20.53</v>
      </c>
      <c r="G205">
        <v>4</v>
      </c>
    </row>
    <row r="206" spans="1:7" x14ac:dyDescent="0.35">
      <c r="A206" t="s">
        <v>7</v>
      </c>
      <c r="B206" t="s">
        <v>22</v>
      </c>
      <c r="C206" t="s">
        <v>23</v>
      </c>
      <c r="D206" t="s">
        <v>24</v>
      </c>
      <c r="E206">
        <v>3</v>
      </c>
      <c r="F206">
        <v>16.47</v>
      </c>
      <c r="G206">
        <v>3.23</v>
      </c>
    </row>
    <row r="207" spans="1:7" x14ac:dyDescent="0.35">
      <c r="A207" t="s">
        <v>11</v>
      </c>
      <c r="B207" t="s">
        <v>22</v>
      </c>
      <c r="C207" t="s">
        <v>21</v>
      </c>
      <c r="D207" t="s">
        <v>10</v>
      </c>
      <c r="E207">
        <v>3</v>
      </c>
      <c r="F207">
        <v>26.59</v>
      </c>
      <c r="G207">
        <v>3.41</v>
      </c>
    </row>
    <row r="208" spans="1:7" x14ac:dyDescent="0.35">
      <c r="A208" t="s">
        <v>11</v>
      </c>
      <c r="B208" t="s">
        <v>22</v>
      </c>
      <c r="C208" t="s">
        <v>21</v>
      </c>
      <c r="D208" t="s">
        <v>10</v>
      </c>
      <c r="E208">
        <v>4</v>
      </c>
      <c r="F208">
        <v>38.729999999999997</v>
      </c>
      <c r="G208">
        <v>3</v>
      </c>
    </row>
    <row r="209" spans="1:7" x14ac:dyDescent="0.35">
      <c r="A209" t="s">
        <v>11</v>
      </c>
      <c r="B209" t="s">
        <v>22</v>
      </c>
      <c r="C209" t="s">
        <v>21</v>
      </c>
      <c r="D209" t="s">
        <v>10</v>
      </c>
      <c r="E209">
        <v>2</v>
      </c>
      <c r="F209">
        <v>24.27</v>
      </c>
      <c r="G209">
        <v>2.0299999999999998</v>
      </c>
    </row>
    <row r="210" spans="1:7" x14ac:dyDescent="0.35">
      <c r="A210" t="s">
        <v>7</v>
      </c>
      <c r="B210" t="s">
        <v>22</v>
      </c>
      <c r="C210" t="s">
        <v>21</v>
      </c>
      <c r="D210" t="s">
        <v>10</v>
      </c>
      <c r="E210">
        <v>2</v>
      </c>
      <c r="F210">
        <v>12.76</v>
      </c>
      <c r="G210">
        <v>2.23</v>
      </c>
    </row>
    <row r="211" spans="1:7" x14ac:dyDescent="0.35">
      <c r="A211" t="s">
        <v>11</v>
      </c>
      <c r="B211" t="s">
        <v>22</v>
      </c>
      <c r="C211" t="s">
        <v>21</v>
      </c>
      <c r="D211" t="s">
        <v>10</v>
      </c>
      <c r="E211">
        <v>3</v>
      </c>
      <c r="F211">
        <v>30.06</v>
      </c>
      <c r="G211">
        <v>2</v>
      </c>
    </row>
    <row r="212" spans="1:7" x14ac:dyDescent="0.35">
      <c r="A212" t="s">
        <v>11</v>
      </c>
      <c r="B212" t="s">
        <v>22</v>
      </c>
      <c r="C212" t="s">
        <v>21</v>
      </c>
      <c r="D212" t="s">
        <v>10</v>
      </c>
      <c r="E212">
        <v>4</v>
      </c>
      <c r="F212">
        <v>25.89</v>
      </c>
      <c r="G212">
        <v>5.16</v>
      </c>
    </row>
    <row r="213" spans="1:7" x14ac:dyDescent="0.35">
      <c r="A213" t="s">
        <v>11</v>
      </c>
      <c r="B213" t="s">
        <v>8</v>
      </c>
      <c r="C213" t="s">
        <v>21</v>
      </c>
      <c r="D213" t="s">
        <v>10</v>
      </c>
      <c r="E213">
        <v>4</v>
      </c>
      <c r="F213">
        <v>48.33</v>
      </c>
      <c r="G213">
        <v>9</v>
      </c>
    </row>
    <row r="214" spans="1:7" x14ac:dyDescent="0.35">
      <c r="A214" t="s">
        <v>7</v>
      </c>
      <c r="B214" t="s">
        <v>22</v>
      </c>
      <c r="C214" t="s">
        <v>21</v>
      </c>
      <c r="D214" t="s">
        <v>10</v>
      </c>
      <c r="E214">
        <v>2</v>
      </c>
      <c r="F214">
        <v>13.27</v>
      </c>
      <c r="G214">
        <v>2.5</v>
      </c>
    </row>
    <row r="215" spans="1:7" x14ac:dyDescent="0.35">
      <c r="A215" t="s">
        <v>7</v>
      </c>
      <c r="B215" t="s">
        <v>22</v>
      </c>
      <c r="C215" t="s">
        <v>21</v>
      </c>
      <c r="D215" t="s">
        <v>10</v>
      </c>
      <c r="E215">
        <v>3</v>
      </c>
      <c r="F215">
        <v>28.17</v>
      </c>
      <c r="G215">
        <v>6.5</v>
      </c>
    </row>
    <row r="216" spans="1:7" x14ac:dyDescent="0.35">
      <c r="A216" t="s">
        <v>7</v>
      </c>
      <c r="B216" t="s">
        <v>22</v>
      </c>
      <c r="C216" t="s">
        <v>21</v>
      </c>
      <c r="D216" t="s">
        <v>10</v>
      </c>
      <c r="E216">
        <v>2</v>
      </c>
      <c r="F216">
        <v>12.9</v>
      </c>
      <c r="G216">
        <v>1.1000000000000001</v>
      </c>
    </row>
    <row r="217" spans="1:7" x14ac:dyDescent="0.35">
      <c r="A217" t="s">
        <v>11</v>
      </c>
      <c r="B217" t="s">
        <v>22</v>
      </c>
      <c r="C217" t="s">
        <v>21</v>
      </c>
      <c r="D217" t="s">
        <v>10</v>
      </c>
      <c r="E217">
        <v>5</v>
      </c>
      <c r="F217">
        <v>28.15</v>
      </c>
      <c r="G217">
        <v>3</v>
      </c>
    </row>
    <row r="218" spans="1:7" x14ac:dyDescent="0.35">
      <c r="A218" t="s">
        <v>11</v>
      </c>
      <c r="B218" t="s">
        <v>22</v>
      </c>
      <c r="C218" t="s">
        <v>21</v>
      </c>
      <c r="D218" t="s">
        <v>10</v>
      </c>
      <c r="E218">
        <v>2</v>
      </c>
      <c r="F218">
        <v>11.59</v>
      </c>
      <c r="G218">
        <v>1.5</v>
      </c>
    </row>
    <row r="219" spans="1:7" x14ac:dyDescent="0.35">
      <c r="A219" t="s">
        <v>11</v>
      </c>
      <c r="B219" t="s">
        <v>22</v>
      </c>
      <c r="C219" t="s">
        <v>21</v>
      </c>
      <c r="D219" t="s">
        <v>10</v>
      </c>
      <c r="E219">
        <v>2</v>
      </c>
      <c r="F219">
        <v>7.74</v>
      </c>
      <c r="G219">
        <v>1.44</v>
      </c>
    </row>
    <row r="220" spans="1:7" x14ac:dyDescent="0.35">
      <c r="A220" t="s">
        <v>7</v>
      </c>
      <c r="B220" t="s">
        <v>22</v>
      </c>
      <c r="C220" t="s">
        <v>21</v>
      </c>
      <c r="D220" t="s">
        <v>10</v>
      </c>
      <c r="E220">
        <v>4</v>
      </c>
      <c r="F220">
        <v>30.14</v>
      </c>
      <c r="G220">
        <v>3.09</v>
      </c>
    </row>
    <row r="221" spans="1:7" x14ac:dyDescent="0.35">
      <c r="A221" t="s">
        <v>11</v>
      </c>
      <c r="B221" t="s">
        <v>22</v>
      </c>
      <c r="C221" t="s">
        <v>25</v>
      </c>
      <c r="D221" t="s">
        <v>24</v>
      </c>
      <c r="E221">
        <v>2</v>
      </c>
      <c r="F221">
        <v>12.16</v>
      </c>
      <c r="G221">
        <v>2.2000000000000002</v>
      </c>
    </row>
    <row r="222" spans="1:7" x14ac:dyDescent="0.35">
      <c r="A222" t="s">
        <v>7</v>
      </c>
      <c r="B222" t="s">
        <v>22</v>
      </c>
      <c r="C222" t="s">
        <v>25</v>
      </c>
      <c r="D222" t="s">
        <v>24</v>
      </c>
      <c r="E222">
        <v>2</v>
      </c>
      <c r="F222">
        <v>13.42</v>
      </c>
      <c r="G222">
        <v>3.48</v>
      </c>
    </row>
    <row r="223" spans="1:7" x14ac:dyDescent="0.35">
      <c r="A223" t="s">
        <v>11</v>
      </c>
      <c r="B223" t="s">
        <v>22</v>
      </c>
      <c r="C223" t="s">
        <v>25</v>
      </c>
      <c r="D223" t="s">
        <v>24</v>
      </c>
      <c r="E223">
        <v>1</v>
      </c>
      <c r="F223">
        <v>8.58</v>
      </c>
      <c r="G223">
        <v>1.92</v>
      </c>
    </row>
    <row r="224" spans="1:7" x14ac:dyDescent="0.35">
      <c r="A224" t="s">
        <v>7</v>
      </c>
      <c r="B224" t="s">
        <v>8</v>
      </c>
      <c r="C224" t="s">
        <v>25</v>
      </c>
      <c r="D224" t="s">
        <v>24</v>
      </c>
      <c r="E224">
        <v>3</v>
      </c>
      <c r="F224">
        <v>15.98</v>
      </c>
      <c r="G224">
        <v>3</v>
      </c>
    </row>
    <row r="225" spans="1:7" x14ac:dyDescent="0.35">
      <c r="A225" t="s">
        <v>11</v>
      </c>
      <c r="B225" t="s">
        <v>22</v>
      </c>
      <c r="C225" t="s">
        <v>25</v>
      </c>
      <c r="D225" t="s">
        <v>24</v>
      </c>
      <c r="E225">
        <v>2</v>
      </c>
      <c r="F225">
        <v>13.42</v>
      </c>
      <c r="G225">
        <v>1.58</v>
      </c>
    </row>
    <row r="226" spans="1:7" x14ac:dyDescent="0.35">
      <c r="A226" t="s">
        <v>7</v>
      </c>
      <c r="B226" t="s">
        <v>22</v>
      </c>
      <c r="C226" t="s">
        <v>25</v>
      </c>
      <c r="D226" t="s">
        <v>24</v>
      </c>
      <c r="E226">
        <v>2</v>
      </c>
      <c r="F226">
        <v>16.27</v>
      </c>
      <c r="G226">
        <v>2.5</v>
      </c>
    </row>
    <row r="227" spans="1:7" x14ac:dyDescent="0.35">
      <c r="A227" t="s">
        <v>7</v>
      </c>
      <c r="B227" t="s">
        <v>22</v>
      </c>
      <c r="C227" t="s">
        <v>25</v>
      </c>
      <c r="D227" t="s">
        <v>24</v>
      </c>
      <c r="E227">
        <v>2</v>
      </c>
      <c r="F227">
        <v>10.09</v>
      </c>
      <c r="G227">
        <v>2</v>
      </c>
    </row>
    <row r="228" spans="1:7" x14ac:dyDescent="0.35">
      <c r="A228" t="s">
        <v>11</v>
      </c>
      <c r="B228" t="s">
        <v>8</v>
      </c>
      <c r="C228" t="s">
        <v>21</v>
      </c>
      <c r="D228" t="s">
        <v>10</v>
      </c>
      <c r="E228">
        <v>4</v>
      </c>
      <c r="F228">
        <v>20.45</v>
      </c>
      <c r="G228">
        <v>3</v>
      </c>
    </row>
    <row r="229" spans="1:7" x14ac:dyDescent="0.35">
      <c r="A229" t="s">
        <v>11</v>
      </c>
      <c r="B229" t="s">
        <v>8</v>
      </c>
      <c r="C229" t="s">
        <v>21</v>
      </c>
      <c r="D229" t="s">
        <v>10</v>
      </c>
      <c r="E229">
        <v>2</v>
      </c>
      <c r="F229">
        <v>13.28</v>
      </c>
      <c r="G229">
        <v>2.72</v>
      </c>
    </row>
    <row r="230" spans="1:7" x14ac:dyDescent="0.35">
      <c r="A230" t="s">
        <v>7</v>
      </c>
      <c r="B230" t="s">
        <v>22</v>
      </c>
      <c r="C230" t="s">
        <v>21</v>
      </c>
      <c r="D230" t="s">
        <v>10</v>
      </c>
      <c r="E230">
        <v>2</v>
      </c>
      <c r="F230">
        <v>22.12</v>
      </c>
      <c r="G230">
        <v>2.88</v>
      </c>
    </row>
    <row r="231" spans="1:7" x14ac:dyDescent="0.35">
      <c r="A231" t="s">
        <v>11</v>
      </c>
      <c r="B231" t="s">
        <v>22</v>
      </c>
      <c r="C231" t="s">
        <v>21</v>
      </c>
      <c r="D231" t="s">
        <v>10</v>
      </c>
      <c r="E231">
        <v>4</v>
      </c>
      <c r="F231">
        <v>24.01</v>
      </c>
      <c r="G231">
        <v>2</v>
      </c>
    </row>
    <row r="232" spans="1:7" x14ac:dyDescent="0.35">
      <c r="A232" t="s">
        <v>11</v>
      </c>
      <c r="B232" t="s">
        <v>22</v>
      </c>
      <c r="C232" t="s">
        <v>21</v>
      </c>
      <c r="D232" t="s">
        <v>10</v>
      </c>
      <c r="E232">
        <v>3</v>
      </c>
      <c r="F232">
        <v>15.69</v>
      </c>
      <c r="G232">
        <v>3</v>
      </c>
    </row>
    <row r="233" spans="1:7" x14ac:dyDescent="0.35">
      <c r="A233" t="s">
        <v>11</v>
      </c>
      <c r="B233" t="s">
        <v>8</v>
      </c>
      <c r="C233" t="s">
        <v>21</v>
      </c>
      <c r="D233" t="s">
        <v>10</v>
      </c>
      <c r="E233">
        <v>2</v>
      </c>
      <c r="F233">
        <v>11.61</v>
      </c>
      <c r="G233">
        <v>3.39</v>
      </c>
    </row>
    <row r="234" spans="1:7" x14ac:dyDescent="0.35">
      <c r="A234" t="s">
        <v>11</v>
      </c>
      <c r="B234" t="s">
        <v>8</v>
      </c>
      <c r="C234" t="s">
        <v>21</v>
      </c>
      <c r="D234" t="s">
        <v>10</v>
      </c>
      <c r="E234">
        <v>2</v>
      </c>
      <c r="F234">
        <v>10.77</v>
      </c>
      <c r="G234">
        <v>1.47</v>
      </c>
    </row>
    <row r="235" spans="1:7" x14ac:dyDescent="0.35">
      <c r="A235" t="s">
        <v>11</v>
      </c>
      <c r="B235" t="s">
        <v>22</v>
      </c>
      <c r="C235" t="s">
        <v>21</v>
      </c>
      <c r="D235" t="s">
        <v>10</v>
      </c>
      <c r="E235">
        <v>2</v>
      </c>
      <c r="F235">
        <v>15.53</v>
      </c>
      <c r="G235">
        <v>3</v>
      </c>
    </row>
    <row r="236" spans="1:7" x14ac:dyDescent="0.35">
      <c r="A236" t="s">
        <v>11</v>
      </c>
      <c r="B236" t="s">
        <v>8</v>
      </c>
      <c r="C236" t="s">
        <v>21</v>
      </c>
      <c r="D236" t="s">
        <v>10</v>
      </c>
      <c r="E236">
        <v>2</v>
      </c>
      <c r="F236">
        <v>10.07</v>
      </c>
      <c r="G236">
        <v>1.25</v>
      </c>
    </row>
    <row r="237" spans="1:7" x14ac:dyDescent="0.35">
      <c r="A237" t="s">
        <v>11</v>
      </c>
      <c r="B237" t="s">
        <v>22</v>
      </c>
      <c r="C237" t="s">
        <v>21</v>
      </c>
      <c r="D237" t="s">
        <v>10</v>
      </c>
      <c r="E237">
        <v>2</v>
      </c>
      <c r="F237">
        <v>12.6</v>
      </c>
      <c r="G237">
        <v>1</v>
      </c>
    </row>
    <row r="238" spans="1:7" x14ac:dyDescent="0.35">
      <c r="A238" t="s">
        <v>11</v>
      </c>
      <c r="B238" t="s">
        <v>22</v>
      </c>
      <c r="C238" t="s">
        <v>21</v>
      </c>
      <c r="D238" t="s">
        <v>10</v>
      </c>
      <c r="E238">
        <v>2</v>
      </c>
      <c r="F238">
        <v>32.83</v>
      </c>
      <c r="G238">
        <v>1.17</v>
      </c>
    </row>
    <row r="239" spans="1:7" x14ac:dyDescent="0.35">
      <c r="A239" t="s">
        <v>7</v>
      </c>
      <c r="B239" t="s">
        <v>8</v>
      </c>
      <c r="C239" t="s">
        <v>21</v>
      </c>
      <c r="D239" t="s">
        <v>10</v>
      </c>
      <c r="E239">
        <v>3</v>
      </c>
      <c r="F239">
        <v>35.83</v>
      </c>
      <c r="G239">
        <v>4.67</v>
      </c>
    </row>
    <row r="240" spans="1:7" x14ac:dyDescent="0.35">
      <c r="A240" t="s">
        <v>11</v>
      </c>
      <c r="B240" t="s">
        <v>8</v>
      </c>
      <c r="C240" t="s">
        <v>21</v>
      </c>
      <c r="D240" t="s">
        <v>10</v>
      </c>
      <c r="E240">
        <v>3</v>
      </c>
      <c r="F240">
        <v>29.03</v>
      </c>
      <c r="G240">
        <v>5.92</v>
      </c>
    </row>
    <row r="241" spans="1:7" x14ac:dyDescent="0.35">
      <c r="A241" t="s">
        <v>7</v>
      </c>
      <c r="B241" t="s">
        <v>22</v>
      </c>
      <c r="C241" t="s">
        <v>21</v>
      </c>
      <c r="D241" t="s">
        <v>10</v>
      </c>
      <c r="E241">
        <v>2</v>
      </c>
      <c r="F241">
        <v>27.18</v>
      </c>
      <c r="G241">
        <v>2</v>
      </c>
    </row>
    <row r="242" spans="1:7" x14ac:dyDescent="0.35">
      <c r="A242" t="s">
        <v>11</v>
      </c>
      <c r="B242" t="s">
        <v>22</v>
      </c>
      <c r="C242" t="s">
        <v>21</v>
      </c>
      <c r="D242" t="s">
        <v>10</v>
      </c>
      <c r="E242">
        <v>2</v>
      </c>
      <c r="F242">
        <v>22.67</v>
      </c>
      <c r="G242">
        <v>2</v>
      </c>
    </row>
    <row r="243" spans="1:7" x14ac:dyDescent="0.35">
      <c r="A243" t="s">
        <v>11</v>
      </c>
      <c r="B243" t="s">
        <v>8</v>
      </c>
      <c r="C243" t="s">
        <v>21</v>
      </c>
      <c r="D243" t="s">
        <v>10</v>
      </c>
      <c r="E243">
        <v>2</v>
      </c>
      <c r="F243">
        <v>17.82</v>
      </c>
      <c r="G243">
        <v>1.75</v>
      </c>
    </row>
    <row r="244" spans="1:7" x14ac:dyDescent="0.35">
      <c r="A244" t="s">
        <v>7</v>
      </c>
      <c r="B244" t="s">
        <v>8</v>
      </c>
      <c r="C244" t="s">
        <v>23</v>
      </c>
      <c r="D244" t="s">
        <v>10</v>
      </c>
      <c r="E244">
        <v>2</v>
      </c>
      <c r="F244">
        <v>18.78</v>
      </c>
      <c r="G244">
        <v>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0FAFF-DA03-4CFC-962A-97E166611DD0}">
  <dimension ref="A1:S244"/>
  <sheetViews>
    <sheetView topLeftCell="G1" workbookViewId="0">
      <selection activeCell="Q7" sqref="Q7"/>
    </sheetView>
  </sheetViews>
  <sheetFormatPr defaultColWidth="13.453125" defaultRowHeight="14.5" x14ac:dyDescent="0.35"/>
  <cols>
    <col min="1" max="1" width="9.6328125" customWidth="1"/>
    <col min="2" max="2" width="9.36328125" customWidth="1"/>
    <col min="3" max="3" width="9.90625" customWidth="1"/>
    <col min="4" max="4" width="8.81640625" customWidth="1"/>
    <col min="5" max="5" width="6.81640625" customWidth="1"/>
    <col min="6" max="6" width="8" customWidth="1"/>
    <col min="7" max="7" width="10.36328125" customWidth="1"/>
    <col min="8" max="8" width="14.453125" customWidth="1"/>
    <col min="9" max="9" width="15.90625" customWidth="1"/>
    <col min="10" max="10" width="17.54296875" bestFit="1" customWidth="1"/>
    <col min="11" max="11" width="12.36328125" customWidth="1"/>
    <col min="12" max="12" width="11.81640625" customWidth="1"/>
    <col min="13" max="13" width="12.26953125" style="8" customWidth="1"/>
    <col min="14" max="14" width="12.26953125" style="5" customWidth="1"/>
    <col min="15" max="15" width="14.6328125" style="5" bestFit="1" customWidth="1"/>
    <col min="16" max="17" width="12.26953125" customWidth="1"/>
    <col min="18" max="18" width="17.54296875" customWidth="1"/>
    <col min="20" max="20" width="46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4</v>
      </c>
      <c r="G1" t="s">
        <v>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s="8" t="s">
        <v>31</v>
      </c>
      <c r="N1" s="5" t="s">
        <v>60</v>
      </c>
      <c r="O1" s="5" t="s">
        <v>61</v>
      </c>
      <c r="P1" t="s">
        <v>62</v>
      </c>
    </row>
    <row r="2" spans="1:19" x14ac:dyDescent="0.35">
      <c r="A2" t="s">
        <v>7</v>
      </c>
      <c r="B2" t="s">
        <v>8</v>
      </c>
      <c r="C2" t="s">
        <v>9</v>
      </c>
      <c r="D2" t="s">
        <v>10</v>
      </c>
      <c r="E2">
        <v>1.01</v>
      </c>
      <c r="F2">
        <v>2</v>
      </c>
      <c r="G2">
        <v>16.989999999999998</v>
      </c>
      <c r="H2">
        <f>IF(Encode_tbl[[#This Row],[sex]]="Male",1,0)</f>
        <v>0</v>
      </c>
      <c r="I2">
        <f>IF(Encode_tbl[[#This Row],[smoker]]="Yes",1,0)</f>
        <v>0</v>
      </c>
      <c r="J2">
        <f>IF(Encode_tbl[[#This Row],[day]]="Fri",1,0)</f>
        <v>0</v>
      </c>
      <c r="K2">
        <f>IF(Encode_tbl[[#This Row],[day]]="Sat",1,0)</f>
        <v>0</v>
      </c>
      <c r="L2">
        <f>IF(Encode_tbl[[#This Row],[day]]="Sun",1,0)</f>
        <v>1</v>
      </c>
      <c r="M2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2.7360827958305332</v>
      </c>
      <c r="N2" s="6">
        <f>Encode_tbl[[#This Row],[tip]]-Encode_tbl[[#This Row],[predicted Tip]]</f>
        <v>-1.7260827958305331</v>
      </c>
      <c r="O2" s="6">
        <f>Encode_tbl[[#This Row],[error]]^2</f>
        <v>2.9793618180621499</v>
      </c>
      <c r="P2" s="9">
        <f>SQRT(AVERAGE(Encode_tbl[squared error]))</f>
        <v>1.007191971532934</v>
      </c>
      <c r="Q2" s="7"/>
    </row>
    <row r="3" spans="1:19" x14ac:dyDescent="0.35">
      <c r="A3" t="s">
        <v>11</v>
      </c>
      <c r="B3" t="s">
        <v>8</v>
      </c>
      <c r="C3" t="s">
        <v>9</v>
      </c>
      <c r="D3" t="s">
        <v>10</v>
      </c>
      <c r="E3">
        <v>1.66</v>
      </c>
      <c r="F3">
        <v>3</v>
      </c>
      <c r="G3">
        <v>10.34</v>
      </c>
      <c r="H3">
        <f>IF(Encode_tbl[[#This Row],[sex]]="Male",1,0)</f>
        <v>1</v>
      </c>
      <c r="I3">
        <f>IF(Encode_tbl[[#This Row],[smoker]]="Yes",1,0)</f>
        <v>0</v>
      </c>
      <c r="J3">
        <f>IF(Encode_tbl[[#This Row],[day]]="Fri",1,0)</f>
        <v>0</v>
      </c>
      <c r="K3">
        <f>IF(Encode_tbl[[#This Row],[day]]="Sat",1,0)</f>
        <v>0</v>
      </c>
      <c r="L3">
        <f>IF(Encode_tbl[[#This Row],[day]]="Sun",1,0)</f>
        <v>1</v>
      </c>
      <c r="M3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2.252219993724347</v>
      </c>
      <c r="N3" s="6">
        <f>Encode_tbl[[#This Row],[tip]]-Encode_tbl[[#This Row],[predicted Tip]]</f>
        <v>-0.59221999372434708</v>
      </c>
      <c r="O3" s="6">
        <f>Encode_tbl[[#This Row],[error]]^2</f>
        <v>0.35072452096686568</v>
      </c>
      <c r="P3" s="7"/>
      <c r="Q3" s="7"/>
      <c r="R3" s="1" t="s">
        <v>12</v>
      </c>
      <c r="S3" s="1" t="s">
        <v>13</v>
      </c>
    </row>
    <row r="4" spans="1:19" x14ac:dyDescent="0.35">
      <c r="A4" t="s">
        <v>11</v>
      </c>
      <c r="B4" t="s">
        <v>8</v>
      </c>
      <c r="C4" t="s">
        <v>9</v>
      </c>
      <c r="D4" t="s">
        <v>10</v>
      </c>
      <c r="E4">
        <v>3.5</v>
      </c>
      <c r="F4">
        <v>3</v>
      </c>
      <c r="G4">
        <v>21.01</v>
      </c>
      <c r="H4">
        <f>IF(Encode_tbl[[#This Row],[sex]]="Male",1,0)</f>
        <v>1</v>
      </c>
      <c r="I4">
        <f>IF(Encode_tbl[[#This Row],[smoker]]="Yes",1,0)</f>
        <v>0</v>
      </c>
      <c r="J4">
        <f>IF(Encode_tbl[[#This Row],[day]]="Fri",1,0)</f>
        <v>0</v>
      </c>
      <c r="K4">
        <f>IF(Encode_tbl[[#This Row],[day]]="Sat",1,0)</f>
        <v>0</v>
      </c>
      <c r="L4">
        <f>IF(Encode_tbl[[#This Row],[day]]="Sun",1,0)</f>
        <v>1</v>
      </c>
      <c r="M4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3.2576999196699647</v>
      </c>
      <c r="N4" s="6">
        <f>Encode_tbl[[#This Row],[tip]]-Encode_tbl[[#This Row],[predicted Tip]]</f>
        <v>0.24230008033003525</v>
      </c>
      <c r="O4" s="6">
        <f>Encode_tbl[[#This Row],[error]]^2</f>
        <v>5.8709328927941534E-2</v>
      </c>
      <c r="P4" s="7"/>
      <c r="Q4" s="7"/>
      <c r="R4" s="1" t="s">
        <v>1</v>
      </c>
      <c r="S4" s="1" t="s">
        <v>14</v>
      </c>
    </row>
    <row r="5" spans="1:19" x14ac:dyDescent="0.35">
      <c r="A5" t="s">
        <v>11</v>
      </c>
      <c r="B5" t="s">
        <v>8</v>
      </c>
      <c r="C5" t="s">
        <v>9</v>
      </c>
      <c r="D5" t="s">
        <v>10</v>
      </c>
      <c r="E5">
        <v>3.31</v>
      </c>
      <c r="F5">
        <v>2</v>
      </c>
      <c r="G5">
        <v>23.68</v>
      </c>
      <c r="H5">
        <f>IF(Encode_tbl[[#This Row],[sex]]="Male",1,0)</f>
        <v>1</v>
      </c>
      <c r="I5">
        <f>IF(Encode_tbl[[#This Row],[smoker]]="Yes",1,0)</f>
        <v>0</v>
      </c>
      <c r="J5">
        <f>IF(Encode_tbl[[#This Row],[day]]="Fri",1,0)</f>
        <v>0</v>
      </c>
      <c r="K5">
        <f>IF(Encode_tbl[[#This Row],[day]]="Sat",1,0)</f>
        <v>0</v>
      </c>
      <c r="L5">
        <f>IF(Encode_tbl[[#This Row],[day]]="Sun",1,0)</f>
        <v>1</v>
      </c>
      <c r="M5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3.332209885609061</v>
      </c>
      <c r="N5" s="6">
        <f>Encode_tbl[[#This Row],[tip]]-Encode_tbl[[#This Row],[predicted Tip]]</f>
        <v>-2.2209885609060898E-2</v>
      </c>
      <c r="O5" s="6">
        <f>Encode_tbl[[#This Row],[error]]^2</f>
        <v>4.932790187675704E-4</v>
      </c>
      <c r="P5" s="7"/>
      <c r="Q5" s="7"/>
      <c r="R5" s="1" t="s">
        <v>2</v>
      </c>
      <c r="S5" s="1" t="s">
        <v>15</v>
      </c>
    </row>
    <row r="6" spans="1:19" x14ac:dyDescent="0.35">
      <c r="A6" t="s">
        <v>7</v>
      </c>
      <c r="B6" t="s">
        <v>8</v>
      </c>
      <c r="C6" t="s">
        <v>9</v>
      </c>
      <c r="D6" t="s">
        <v>10</v>
      </c>
      <c r="E6">
        <v>3.61</v>
      </c>
      <c r="F6">
        <v>4</v>
      </c>
      <c r="G6">
        <v>24.59</v>
      </c>
      <c r="H6">
        <f>IF(Encode_tbl[[#This Row],[sex]]="Male",1,0)</f>
        <v>0</v>
      </c>
      <c r="I6">
        <f>IF(Encode_tbl[[#This Row],[smoker]]="Yes",1,0)</f>
        <v>0</v>
      </c>
      <c r="J6">
        <f>IF(Encode_tbl[[#This Row],[day]]="Fri",1,0)</f>
        <v>0</v>
      </c>
      <c r="K6">
        <f>IF(Encode_tbl[[#This Row],[day]]="Sat",1,0)</f>
        <v>0</v>
      </c>
      <c r="L6">
        <f>IF(Encode_tbl[[#This Row],[day]]="Sun",1,0)</f>
        <v>1</v>
      </c>
      <c r="M6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3.806454639185358</v>
      </c>
      <c r="N6" s="6">
        <f>Encode_tbl[[#This Row],[tip]]-Encode_tbl[[#This Row],[predicted Tip]]</f>
        <v>-0.1964546391853581</v>
      </c>
      <c r="O6" s="6">
        <f>Encode_tbl[[#This Row],[error]]^2</f>
        <v>3.8594425257449237E-2</v>
      </c>
      <c r="P6" s="7"/>
      <c r="Q6" s="7"/>
      <c r="R6" s="1" t="s">
        <v>3</v>
      </c>
      <c r="S6" s="1" t="s">
        <v>16</v>
      </c>
    </row>
    <row r="7" spans="1:19" x14ac:dyDescent="0.35">
      <c r="A7" t="s">
        <v>11</v>
      </c>
      <c r="B7" t="s">
        <v>8</v>
      </c>
      <c r="C7" t="s">
        <v>9</v>
      </c>
      <c r="D7" t="s">
        <v>10</v>
      </c>
      <c r="E7">
        <v>4.71</v>
      </c>
      <c r="F7">
        <v>4</v>
      </c>
      <c r="G7">
        <v>25.29</v>
      </c>
      <c r="H7">
        <f>IF(Encode_tbl[[#This Row],[sex]]="Male",1,0)</f>
        <v>1</v>
      </c>
      <c r="I7">
        <f>IF(Encode_tbl[[#This Row],[smoker]]="Yes",1,0)</f>
        <v>0</v>
      </c>
      <c r="J7">
        <f>IF(Encode_tbl[[#This Row],[day]]="Fri",1,0)</f>
        <v>0</v>
      </c>
      <c r="K7">
        <f>IF(Encode_tbl[[#This Row],[day]]="Sat",1,0)</f>
        <v>0</v>
      </c>
      <c r="L7">
        <f>IF(Encode_tbl[[#This Row],[day]]="Sun",1,0)</f>
        <v>1</v>
      </c>
      <c r="M7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3.8381183028707033</v>
      </c>
      <c r="N7" s="6">
        <f>Encode_tbl[[#This Row],[tip]]-Encode_tbl[[#This Row],[predicted Tip]]</f>
        <v>0.87188169712929664</v>
      </c>
      <c r="O7" s="6">
        <f>Encode_tbl[[#This Row],[error]]^2</f>
        <v>0.76017769378906253</v>
      </c>
      <c r="P7" s="7"/>
      <c r="Q7" s="7"/>
      <c r="R7" s="1" t="s">
        <v>4</v>
      </c>
      <c r="S7" s="1" t="s">
        <v>17</v>
      </c>
    </row>
    <row r="8" spans="1:19" x14ac:dyDescent="0.35">
      <c r="A8" t="s">
        <v>11</v>
      </c>
      <c r="B8" t="s">
        <v>8</v>
      </c>
      <c r="C8" t="s">
        <v>9</v>
      </c>
      <c r="D8" t="s">
        <v>10</v>
      </c>
      <c r="E8">
        <v>2</v>
      </c>
      <c r="F8">
        <v>2</v>
      </c>
      <c r="G8">
        <v>8.77</v>
      </c>
      <c r="H8">
        <f>IF(Encode_tbl[[#This Row],[sex]]="Male",1,0)</f>
        <v>1</v>
      </c>
      <c r="I8">
        <f>IF(Encode_tbl[[#This Row],[smoker]]="Yes",1,0)</f>
        <v>0</v>
      </c>
      <c r="J8">
        <f>IF(Encode_tbl[[#This Row],[day]]="Fri",1,0)</f>
        <v>0</v>
      </c>
      <c r="K8">
        <f>IF(Encode_tbl[[#This Row],[day]]="Sat",1,0)</f>
        <v>0</v>
      </c>
      <c r="L8">
        <f>IF(Encode_tbl[[#This Row],[day]]="Sun",1,0)</f>
        <v>1</v>
      </c>
      <c r="M8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1.9271765495407238</v>
      </c>
      <c r="N8" s="6">
        <f>Encode_tbl[[#This Row],[tip]]-Encode_tbl[[#This Row],[predicted Tip]]</f>
        <v>7.2823450459276184E-2</v>
      </c>
      <c r="O8" s="6">
        <f>Encode_tbl[[#This Row],[error]]^2</f>
        <v>5.3032549367946526E-3</v>
      </c>
      <c r="P8" s="7"/>
      <c r="Q8" s="7"/>
      <c r="R8" s="1" t="s">
        <v>18</v>
      </c>
      <c r="S8" s="1" t="s">
        <v>19</v>
      </c>
    </row>
    <row r="9" spans="1:19" x14ac:dyDescent="0.35">
      <c r="A9" t="s">
        <v>11</v>
      </c>
      <c r="B9" t="s">
        <v>8</v>
      </c>
      <c r="C9" t="s">
        <v>9</v>
      </c>
      <c r="D9" t="s">
        <v>10</v>
      </c>
      <c r="E9">
        <v>3.12</v>
      </c>
      <c r="F9">
        <v>4</v>
      </c>
      <c r="G9">
        <v>26.88</v>
      </c>
      <c r="H9">
        <f>IF(Encode_tbl[[#This Row],[sex]]="Male",1,0)</f>
        <v>1</v>
      </c>
      <c r="I9">
        <f>IF(Encode_tbl[[#This Row],[smoker]]="Yes",1,0)</f>
        <v>0</v>
      </c>
      <c r="J9">
        <f>IF(Encode_tbl[[#This Row],[day]]="Fri",1,0)</f>
        <v>0</v>
      </c>
      <c r="K9">
        <f>IF(Encode_tbl[[#This Row],[day]]="Sat",1,0)</f>
        <v>0</v>
      </c>
      <c r="L9">
        <f>IF(Encode_tbl[[#This Row],[day]]="Sun",1,0)</f>
        <v>1</v>
      </c>
      <c r="M9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3.9879508316667236</v>
      </c>
      <c r="N9" s="6">
        <f>Encode_tbl[[#This Row],[tip]]-Encode_tbl[[#This Row],[predicted Tip]]</f>
        <v>-0.86795083166672349</v>
      </c>
      <c r="O9" s="6">
        <f>Encode_tbl[[#This Row],[error]]^2</f>
        <v>0.75333864619095692</v>
      </c>
      <c r="P9" s="7"/>
      <c r="Q9" s="7"/>
      <c r="R9" s="1" t="s">
        <v>6</v>
      </c>
      <c r="S9" s="1" t="s">
        <v>20</v>
      </c>
    </row>
    <row r="10" spans="1:19" x14ac:dyDescent="0.35">
      <c r="A10" t="s">
        <v>11</v>
      </c>
      <c r="B10" t="s">
        <v>8</v>
      </c>
      <c r="C10" t="s">
        <v>9</v>
      </c>
      <c r="D10" t="s">
        <v>10</v>
      </c>
      <c r="E10">
        <v>1.96</v>
      </c>
      <c r="F10">
        <v>2</v>
      </c>
      <c r="G10">
        <v>15.04</v>
      </c>
      <c r="H10">
        <f>IF(Encode_tbl[[#This Row],[sex]]="Male",1,0)</f>
        <v>1</v>
      </c>
      <c r="I10">
        <f>IF(Encode_tbl[[#This Row],[smoker]]="Yes",1,0)</f>
        <v>0</v>
      </c>
      <c r="J10">
        <f>IF(Encode_tbl[[#This Row],[day]]="Fri",1,0)</f>
        <v>0</v>
      </c>
      <c r="K10">
        <f>IF(Encode_tbl[[#This Row],[day]]="Sat",1,0)</f>
        <v>0</v>
      </c>
      <c r="L10">
        <f>IF(Encode_tbl[[#This Row],[day]]="Sun",1,0)</f>
        <v>1</v>
      </c>
      <c r="M10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2.5180255781891794</v>
      </c>
      <c r="N10" s="6">
        <f>Encode_tbl[[#This Row],[tip]]-Encode_tbl[[#This Row],[predicted Tip]]</f>
        <v>-0.55802557818917942</v>
      </c>
      <c r="O10" s="6">
        <f>Encode_tbl[[#This Row],[error]]^2</f>
        <v>0.31139254591336801</v>
      </c>
      <c r="P10" s="7"/>
      <c r="Q10" s="7"/>
    </row>
    <row r="11" spans="1:19" x14ac:dyDescent="0.35">
      <c r="A11" t="s">
        <v>11</v>
      </c>
      <c r="B11" t="s">
        <v>8</v>
      </c>
      <c r="C11" t="s">
        <v>9</v>
      </c>
      <c r="D11" t="s">
        <v>10</v>
      </c>
      <c r="E11">
        <v>3.23</v>
      </c>
      <c r="F11">
        <v>2</v>
      </c>
      <c r="G11">
        <v>14.78</v>
      </c>
      <c r="H11">
        <f>IF(Encode_tbl[[#This Row],[sex]]="Male",1,0)</f>
        <v>1</v>
      </c>
      <c r="I11">
        <f>IF(Encode_tbl[[#This Row],[smoker]]="Yes",1,0)</f>
        <v>0</v>
      </c>
      <c r="J11">
        <f>IF(Encode_tbl[[#This Row],[day]]="Fri",1,0)</f>
        <v>0</v>
      </c>
      <c r="K11">
        <f>IF(Encode_tbl[[#This Row],[day]]="Sat",1,0)</f>
        <v>0</v>
      </c>
      <c r="L11">
        <f>IF(Encode_tbl[[#This Row],[day]]="Sun",1,0)</f>
        <v>1</v>
      </c>
      <c r="M11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2.493524661530711</v>
      </c>
      <c r="N11" s="6">
        <f>Encode_tbl[[#This Row],[tip]]-Encode_tbl[[#This Row],[predicted Tip]]</f>
        <v>0.73647533846928903</v>
      </c>
      <c r="O11" s="6">
        <f>Encode_tbl[[#This Row],[error]]^2</f>
        <v>0.54239592417345384</v>
      </c>
      <c r="P11" s="7"/>
      <c r="Q11" s="7"/>
    </row>
    <row r="12" spans="1:19" x14ac:dyDescent="0.35">
      <c r="A12" t="s">
        <v>11</v>
      </c>
      <c r="B12" t="s">
        <v>8</v>
      </c>
      <c r="C12" t="s">
        <v>9</v>
      </c>
      <c r="D12" t="s">
        <v>10</v>
      </c>
      <c r="E12">
        <v>1.71</v>
      </c>
      <c r="F12">
        <v>2</v>
      </c>
      <c r="G12">
        <v>10.27</v>
      </c>
      <c r="H12">
        <f>IF(Encode_tbl[[#This Row],[sex]]="Male",1,0)</f>
        <v>1</v>
      </c>
      <c r="I12">
        <f>IF(Encode_tbl[[#This Row],[smoker]]="Yes",1,0)</f>
        <v>0</v>
      </c>
      <c r="J12">
        <f>IF(Encode_tbl[[#This Row],[day]]="Fri",1,0)</f>
        <v>0</v>
      </c>
      <c r="K12">
        <f>IF(Encode_tbl[[#This Row],[day]]="Sat",1,0)</f>
        <v>0</v>
      </c>
      <c r="L12">
        <f>IF(Encode_tbl[[#This Row],[day]]="Sun",1,0)</f>
        <v>1</v>
      </c>
      <c r="M12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2.0685279918011199</v>
      </c>
      <c r="N12" s="6">
        <f>Encode_tbl[[#This Row],[tip]]-Encode_tbl[[#This Row],[predicted Tip]]</f>
        <v>-0.35852799180111994</v>
      </c>
      <c r="O12" s="6">
        <f>Encode_tbl[[#This Row],[error]]^2</f>
        <v>0.12854232090494391</v>
      </c>
      <c r="P12" s="7"/>
      <c r="Q12" s="7"/>
    </row>
    <row r="13" spans="1:19" x14ac:dyDescent="0.35">
      <c r="A13" t="s">
        <v>7</v>
      </c>
      <c r="B13" t="s">
        <v>8</v>
      </c>
      <c r="C13" t="s">
        <v>9</v>
      </c>
      <c r="D13" t="s">
        <v>10</v>
      </c>
      <c r="E13">
        <v>5</v>
      </c>
      <c r="F13">
        <v>4</v>
      </c>
      <c r="G13">
        <v>35.26</v>
      </c>
      <c r="H13">
        <f>IF(Encode_tbl[[#This Row],[sex]]="Male",1,0)</f>
        <v>0</v>
      </c>
      <c r="I13">
        <f>IF(Encode_tbl[[#This Row],[smoker]]="Yes",1,0)</f>
        <v>0</v>
      </c>
      <c r="J13">
        <f>IF(Encode_tbl[[#This Row],[day]]="Fri",1,0)</f>
        <v>0</v>
      </c>
      <c r="K13">
        <f>IF(Encode_tbl[[#This Row],[day]]="Sat",1,0)</f>
        <v>0</v>
      </c>
      <c r="L13">
        <f>IF(Encode_tbl[[#This Row],[day]]="Sun",1,0)</f>
        <v>1</v>
      </c>
      <c r="M13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4.8119345651309757</v>
      </c>
      <c r="N13" s="6">
        <f>Encode_tbl[[#This Row],[tip]]-Encode_tbl[[#This Row],[predicted Tip]]</f>
        <v>0.18806543486902427</v>
      </c>
      <c r="O13" s="6">
        <f>Encode_tbl[[#This Row],[error]]^2</f>
        <v>3.5368607792475214E-2</v>
      </c>
      <c r="P13" s="7"/>
      <c r="Q13" s="7"/>
    </row>
    <row r="14" spans="1:19" x14ac:dyDescent="0.35">
      <c r="A14" t="s">
        <v>11</v>
      </c>
      <c r="B14" t="s">
        <v>8</v>
      </c>
      <c r="C14" t="s">
        <v>9</v>
      </c>
      <c r="D14" t="s">
        <v>10</v>
      </c>
      <c r="E14">
        <v>1.57</v>
      </c>
      <c r="F14">
        <v>2</v>
      </c>
      <c r="G14">
        <v>15.42</v>
      </c>
      <c r="H14">
        <f>IF(Encode_tbl[[#This Row],[sex]]="Male",1,0)</f>
        <v>1</v>
      </c>
      <c r="I14">
        <f>IF(Encode_tbl[[#This Row],[smoker]]="Yes",1,0)</f>
        <v>0</v>
      </c>
      <c r="J14">
        <f>IF(Encode_tbl[[#This Row],[day]]="Fri",1,0)</f>
        <v>0</v>
      </c>
      <c r="K14">
        <f>IF(Encode_tbl[[#This Row],[day]]="Sat",1,0)</f>
        <v>0</v>
      </c>
      <c r="L14">
        <f>IF(Encode_tbl[[#This Row],[day]]="Sun",1,0)</f>
        <v>1</v>
      </c>
      <c r="M14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2.5538346102284799</v>
      </c>
      <c r="N14" s="6">
        <f>Encode_tbl[[#This Row],[tip]]-Encode_tbl[[#This Row],[predicted Tip]]</f>
        <v>-0.98383461022847984</v>
      </c>
      <c r="O14" s="6">
        <f>Encode_tbl[[#This Row],[error]]^2</f>
        <v>0.96793054028342485</v>
      </c>
      <c r="P14" s="7"/>
      <c r="Q14" s="7"/>
    </row>
    <row r="15" spans="1:19" x14ac:dyDescent="0.35">
      <c r="A15" t="s">
        <v>11</v>
      </c>
      <c r="B15" t="s">
        <v>8</v>
      </c>
      <c r="C15" t="s">
        <v>9</v>
      </c>
      <c r="D15" t="s">
        <v>10</v>
      </c>
      <c r="E15">
        <v>3</v>
      </c>
      <c r="F15">
        <v>4</v>
      </c>
      <c r="G15">
        <v>18.43</v>
      </c>
      <c r="H15">
        <f>IF(Encode_tbl[[#This Row],[sex]]="Male",1,0)</f>
        <v>1</v>
      </c>
      <c r="I15">
        <f>IF(Encode_tbl[[#This Row],[smoker]]="Yes",1,0)</f>
        <v>0</v>
      </c>
      <c r="J15">
        <f>IF(Encode_tbl[[#This Row],[day]]="Fri",1,0)</f>
        <v>0</v>
      </c>
      <c r="K15">
        <f>IF(Encode_tbl[[#This Row],[day]]="Sat",1,0)</f>
        <v>0</v>
      </c>
      <c r="L15">
        <f>IF(Encode_tbl[[#This Row],[day]]="Sun",1,0)</f>
        <v>1</v>
      </c>
      <c r="M15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3.1916710402664918</v>
      </c>
      <c r="N15" s="6">
        <f>Encode_tbl[[#This Row],[tip]]-Encode_tbl[[#This Row],[predicted Tip]]</f>
        <v>-0.19167104026649184</v>
      </c>
      <c r="O15" s="6">
        <f>Encode_tbl[[#This Row],[error]]^2</f>
        <v>3.6737787676839134E-2</v>
      </c>
      <c r="P15" s="7"/>
      <c r="Q15" s="7"/>
    </row>
    <row r="16" spans="1:19" x14ac:dyDescent="0.35">
      <c r="A16" t="s">
        <v>7</v>
      </c>
      <c r="B16" t="s">
        <v>8</v>
      </c>
      <c r="C16" t="s">
        <v>9</v>
      </c>
      <c r="D16" t="s">
        <v>10</v>
      </c>
      <c r="E16">
        <v>3.02</v>
      </c>
      <c r="F16">
        <v>2</v>
      </c>
      <c r="G16">
        <v>14.83</v>
      </c>
      <c r="H16">
        <f>IF(Encode_tbl[[#This Row],[sex]]="Male",1,0)</f>
        <v>0</v>
      </c>
      <c r="I16">
        <f>IF(Encode_tbl[[#This Row],[smoker]]="Yes",1,0)</f>
        <v>0</v>
      </c>
      <c r="J16">
        <f>IF(Encode_tbl[[#This Row],[day]]="Fri",1,0)</f>
        <v>0</v>
      </c>
      <c r="K16">
        <f>IF(Encode_tbl[[#This Row],[day]]="Sat",1,0)</f>
        <v>0</v>
      </c>
      <c r="L16">
        <f>IF(Encode_tbl[[#This Row],[day]]="Sun",1,0)</f>
        <v>1</v>
      </c>
      <c r="M16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2.532536718975563</v>
      </c>
      <c r="N16" s="6">
        <f>Encode_tbl[[#This Row],[tip]]-Encode_tbl[[#This Row],[predicted Tip]]</f>
        <v>0.48746328102443703</v>
      </c>
      <c r="O16" s="6">
        <f>Encode_tbl[[#This Row],[error]]^2</f>
        <v>0.23762045034710927</v>
      </c>
      <c r="P16" s="7"/>
      <c r="Q16" s="7"/>
    </row>
    <row r="17" spans="1:17" x14ac:dyDescent="0.35">
      <c r="A17" t="s">
        <v>11</v>
      </c>
      <c r="B17" t="s">
        <v>8</v>
      </c>
      <c r="C17" t="s">
        <v>9</v>
      </c>
      <c r="D17" t="s">
        <v>10</v>
      </c>
      <c r="E17">
        <v>3.92</v>
      </c>
      <c r="F17">
        <v>2</v>
      </c>
      <c r="G17">
        <v>21.58</v>
      </c>
      <c r="H17">
        <f>IF(Encode_tbl[[#This Row],[sex]]="Male",1,0)</f>
        <v>1</v>
      </c>
      <c r="I17">
        <f>IF(Encode_tbl[[#This Row],[smoker]]="Yes",1,0)</f>
        <v>0</v>
      </c>
      <c r="J17">
        <f>IF(Encode_tbl[[#This Row],[day]]="Fri",1,0)</f>
        <v>0</v>
      </c>
      <c r="K17">
        <f>IF(Encode_tbl[[#This Row],[day]]="Sat",1,0)</f>
        <v>0</v>
      </c>
      <c r="L17">
        <f>IF(Encode_tbl[[#This Row],[day]]="Sun",1,0)</f>
        <v>1</v>
      </c>
      <c r="M17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3.1343178664445066</v>
      </c>
      <c r="N17" s="6">
        <f>Encode_tbl[[#This Row],[tip]]-Encode_tbl[[#This Row],[predicted Tip]]</f>
        <v>0.78568213355549332</v>
      </c>
      <c r="O17" s="6">
        <f>Encode_tbl[[#This Row],[error]]^2</f>
        <v>0.617296414988312</v>
      </c>
      <c r="P17" s="7"/>
      <c r="Q17" s="7"/>
    </row>
    <row r="18" spans="1:17" x14ac:dyDescent="0.35">
      <c r="A18" t="s">
        <v>7</v>
      </c>
      <c r="B18" t="s">
        <v>8</v>
      </c>
      <c r="C18" t="s">
        <v>9</v>
      </c>
      <c r="D18" t="s">
        <v>10</v>
      </c>
      <c r="E18">
        <v>1.67</v>
      </c>
      <c r="F18">
        <v>3</v>
      </c>
      <c r="G18">
        <v>10.33</v>
      </c>
      <c r="H18">
        <f>IF(Encode_tbl[[#This Row],[sex]]="Male",1,0)</f>
        <v>0</v>
      </c>
      <c r="I18">
        <f>IF(Encode_tbl[[#This Row],[smoker]]="Yes",1,0)</f>
        <v>0</v>
      </c>
      <c r="J18">
        <f>IF(Encode_tbl[[#This Row],[day]]="Fri",1,0)</f>
        <v>0</v>
      </c>
      <c r="K18">
        <f>IF(Encode_tbl[[#This Row],[day]]="Sat",1,0)</f>
        <v>0</v>
      </c>
      <c r="L18">
        <f>IF(Encode_tbl[[#This Row],[day]]="Sun",1,0)</f>
        <v>1</v>
      </c>
      <c r="M18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2.2855779934787832</v>
      </c>
      <c r="N18" s="6">
        <f>Encode_tbl[[#This Row],[tip]]-Encode_tbl[[#This Row],[predicted Tip]]</f>
        <v>-0.61557799347878328</v>
      </c>
      <c r="O18" s="6">
        <f>Encode_tbl[[#This Row],[error]]^2</f>
        <v>0.37893626605536496</v>
      </c>
      <c r="P18" s="7"/>
      <c r="Q18" s="7"/>
    </row>
    <row r="19" spans="1:17" x14ac:dyDescent="0.35">
      <c r="A19" t="s">
        <v>11</v>
      </c>
      <c r="B19" t="s">
        <v>8</v>
      </c>
      <c r="C19" t="s">
        <v>9</v>
      </c>
      <c r="D19" t="s">
        <v>10</v>
      </c>
      <c r="E19">
        <v>3.71</v>
      </c>
      <c r="F19">
        <v>3</v>
      </c>
      <c r="G19">
        <v>16.29</v>
      </c>
      <c r="H19">
        <f>IF(Encode_tbl[[#This Row],[sex]]="Male",1,0)</f>
        <v>1</v>
      </c>
      <c r="I19">
        <f>IF(Encode_tbl[[#This Row],[smoker]]="Yes",1,0)</f>
        <v>0</v>
      </c>
      <c r="J19">
        <f>IF(Encode_tbl[[#This Row],[day]]="Fri",1,0)</f>
        <v>0</v>
      </c>
      <c r="K19">
        <f>IF(Encode_tbl[[#This Row],[day]]="Sat",1,0)</f>
        <v>0</v>
      </c>
      <c r="L19">
        <f>IF(Encode_tbl[[#This Row],[day]]="Sun",1,0)</f>
        <v>1</v>
      </c>
      <c r="M19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2.8129140480239183</v>
      </c>
      <c r="N19" s="6">
        <f>Encode_tbl[[#This Row],[tip]]-Encode_tbl[[#This Row],[predicted Tip]]</f>
        <v>0.89708595197608165</v>
      </c>
      <c r="O19" s="6">
        <f>Encode_tbl[[#This Row],[error]]^2</f>
        <v>0.80476320523283262</v>
      </c>
      <c r="P19" s="7"/>
      <c r="Q19" s="7"/>
    </row>
    <row r="20" spans="1:17" x14ac:dyDescent="0.35">
      <c r="A20" t="s">
        <v>7</v>
      </c>
      <c r="B20" t="s">
        <v>8</v>
      </c>
      <c r="C20" t="s">
        <v>9</v>
      </c>
      <c r="D20" t="s">
        <v>10</v>
      </c>
      <c r="E20">
        <v>3.5</v>
      </c>
      <c r="F20">
        <v>3</v>
      </c>
      <c r="G20">
        <v>16.97</v>
      </c>
      <c r="H20">
        <f>IF(Encode_tbl[[#This Row],[sex]]="Male",1,0)</f>
        <v>0</v>
      </c>
      <c r="I20">
        <f>IF(Encode_tbl[[#This Row],[smoker]]="Yes",1,0)</f>
        <v>0</v>
      </c>
      <c r="J20">
        <f>IF(Encode_tbl[[#This Row],[day]]="Fri",1,0)</f>
        <v>0</v>
      </c>
      <c r="K20">
        <f>IF(Encode_tbl[[#This Row],[day]]="Sat",1,0)</f>
        <v>0</v>
      </c>
      <c r="L20">
        <f>IF(Encode_tbl[[#This Row],[day]]="Sun",1,0)</f>
        <v>1</v>
      </c>
      <c r="M20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2.9112937112181365</v>
      </c>
      <c r="N20" s="6">
        <f>Encode_tbl[[#This Row],[tip]]-Encode_tbl[[#This Row],[predicted Tip]]</f>
        <v>0.58870628878186348</v>
      </c>
      <c r="O20" s="6">
        <f>Encode_tbl[[#This Row],[error]]^2</f>
        <v>0.34657509445131485</v>
      </c>
      <c r="P20" s="7"/>
      <c r="Q20" s="7"/>
    </row>
    <row r="21" spans="1:17" x14ac:dyDescent="0.35">
      <c r="A21" t="s">
        <v>11</v>
      </c>
      <c r="B21" t="s">
        <v>8</v>
      </c>
      <c r="C21" t="s">
        <v>21</v>
      </c>
      <c r="D21" t="s">
        <v>10</v>
      </c>
      <c r="E21">
        <v>3.35</v>
      </c>
      <c r="F21">
        <v>3</v>
      </c>
      <c r="G21">
        <v>20.65</v>
      </c>
      <c r="H21">
        <f>IF(Encode_tbl[[#This Row],[sex]]="Male",1,0)</f>
        <v>1</v>
      </c>
      <c r="I21">
        <f>IF(Encode_tbl[[#This Row],[smoker]]="Yes",1,0)</f>
        <v>0</v>
      </c>
      <c r="J21">
        <f>IF(Encode_tbl[[#This Row],[day]]="Fri",1,0)</f>
        <v>0</v>
      </c>
      <c r="K21">
        <f>IF(Encode_tbl[[#This Row],[day]]="Sat",1,0)</f>
        <v>1</v>
      </c>
      <c r="L21">
        <f>IF(Encode_tbl[[#This Row],[day]]="Sun",1,0)</f>
        <v>0</v>
      </c>
      <c r="M21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3.1266561230231669</v>
      </c>
      <c r="N21" s="6">
        <f>Encode_tbl[[#This Row],[tip]]-Encode_tbl[[#This Row],[predicted Tip]]</f>
        <v>0.22334387697683322</v>
      </c>
      <c r="O21" s="6">
        <f>Encode_tbl[[#This Row],[error]]^2</f>
        <v>4.9882487383042816E-2</v>
      </c>
      <c r="P21" s="7"/>
      <c r="Q21" s="7"/>
    </row>
    <row r="22" spans="1:17" x14ac:dyDescent="0.35">
      <c r="A22" t="s">
        <v>11</v>
      </c>
      <c r="B22" t="s">
        <v>8</v>
      </c>
      <c r="C22" t="s">
        <v>21</v>
      </c>
      <c r="D22" t="s">
        <v>10</v>
      </c>
      <c r="E22">
        <v>4.08</v>
      </c>
      <c r="F22">
        <v>2</v>
      </c>
      <c r="G22">
        <v>17.920000000000002</v>
      </c>
      <c r="H22">
        <f>IF(Encode_tbl[[#This Row],[sex]]="Male",1,0)</f>
        <v>1</v>
      </c>
      <c r="I22">
        <f>IF(Encode_tbl[[#This Row],[smoker]]="Yes",1,0)</f>
        <v>0</v>
      </c>
      <c r="J22">
        <f>IF(Encode_tbl[[#This Row],[day]]="Fri",1,0)</f>
        <v>0</v>
      </c>
      <c r="K22">
        <f>IF(Encode_tbl[[#This Row],[day]]="Sat",1,0)</f>
        <v>1</v>
      </c>
      <c r="L22">
        <f>IF(Encode_tbl[[#This Row],[day]]="Sun",1,0)</f>
        <v>0</v>
      </c>
      <c r="M22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2.6923008968248379</v>
      </c>
      <c r="N22" s="6">
        <f>Encode_tbl[[#This Row],[tip]]-Encode_tbl[[#This Row],[predicted Tip]]</f>
        <v>1.3876991031751622</v>
      </c>
      <c r="O22" s="6">
        <f>Encode_tbl[[#This Row],[error]]^2</f>
        <v>1.9257088009531496</v>
      </c>
      <c r="P22" s="7"/>
      <c r="Q22" s="7"/>
    </row>
    <row r="23" spans="1:17" x14ac:dyDescent="0.35">
      <c r="A23" t="s">
        <v>7</v>
      </c>
      <c r="B23" t="s">
        <v>8</v>
      </c>
      <c r="C23" t="s">
        <v>21</v>
      </c>
      <c r="D23" t="s">
        <v>10</v>
      </c>
      <c r="E23">
        <v>2.75</v>
      </c>
      <c r="F23">
        <v>2</v>
      </c>
      <c r="G23">
        <v>20.29</v>
      </c>
      <c r="H23">
        <f>IF(Encode_tbl[[#This Row],[sex]]="Male",1,0)</f>
        <v>0</v>
      </c>
      <c r="I23">
        <f>IF(Encode_tbl[[#This Row],[smoker]]="Yes",1,0)</f>
        <v>0</v>
      </c>
      <c r="J23">
        <f>IF(Encode_tbl[[#This Row],[day]]="Fri",1,0)</f>
        <v>0</v>
      </c>
      <c r="K23">
        <f>IF(Encode_tbl[[#This Row],[day]]="Sat",1,0)</f>
        <v>1</v>
      </c>
      <c r="L23">
        <f>IF(Encode_tbl[[#This Row],[day]]="Sun",1,0)</f>
        <v>0</v>
      </c>
      <c r="M23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2.9499365182991024</v>
      </c>
      <c r="N23" s="6">
        <f>Encode_tbl[[#This Row],[tip]]-Encode_tbl[[#This Row],[predicted Tip]]</f>
        <v>-0.19993651829910242</v>
      </c>
      <c r="O23" s="6">
        <f>Encode_tbl[[#This Row],[error]]^2</f>
        <v>3.9974611349567313E-2</v>
      </c>
      <c r="P23" s="7"/>
      <c r="Q23" s="7"/>
    </row>
    <row r="24" spans="1:17" x14ac:dyDescent="0.35">
      <c r="A24" t="s">
        <v>7</v>
      </c>
      <c r="B24" t="s">
        <v>8</v>
      </c>
      <c r="C24" t="s">
        <v>21</v>
      </c>
      <c r="D24" t="s">
        <v>10</v>
      </c>
      <c r="E24">
        <v>2.23</v>
      </c>
      <c r="F24">
        <v>2</v>
      </c>
      <c r="G24">
        <v>15.77</v>
      </c>
      <c r="H24">
        <f>IF(Encode_tbl[[#This Row],[sex]]="Male",1,0)</f>
        <v>0</v>
      </c>
      <c r="I24">
        <f>IF(Encode_tbl[[#This Row],[smoker]]="Yes",1,0)</f>
        <v>0</v>
      </c>
      <c r="J24">
        <f>IF(Encode_tbl[[#This Row],[day]]="Fri",1,0)</f>
        <v>0</v>
      </c>
      <c r="K24">
        <f>IF(Encode_tbl[[#This Row],[day]]="Sat",1,0)</f>
        <v>1</v>
      </c>
      <c r="L24">
        <f>IF(Encode_tbl[[#This Row],[day]]="Sun",1,0)</f>
        <v>0</v>
      </c>
      <c r="M24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2.5239975056211086</v>
      </c>
      <c r="N24" s="6">
        <f>Encode_tbl[[#This Row],[tip]]-Encode_tbl[[#This Row],[predicted Tip]]</f>
        <v>-0.2939975056211086</v>
      </c>
      <c r="O24" s="6">
        <f>Encode_tbl[[#This Row],[error]]^2</f>
        <v>8.6434533311433789E-2</v>
      </c>
      <c r="P24" s="7"/>
      <c r="Q24" s="7"/>
    </row>
    <row r="25" spans="1:17" x14ac:dyDescent="0.35">
      <c r="A25" t="s">
        <v>11</v>
      </c>
      <c r="B25" t="s">
        <v>8</v>
      </c>
      <c r="C25" t="s">
        <v>21</v>
      </c>
      <c r="D25" t="s">
        <v>10</v>
      </c>
      <c r="E25">
        <v>7.58</v>
      </c>
      <c r="F25">
        <v>4</v>
      </c>
      <c r="G25">
        <v>39.42</v>
      </c>
      <c r="H25">
        <f>IF(Encode_tbl[[#This Row],[sex]]="Male",1,0)</f>
        <v>1</v>
      </c>
      <c r="I25">
        <f>IF(Encode_tbl[[#This Row],[smoker]]="Yes",1,0)</f>
        <v>0</v>
      </c>
      <c r="J25">
        <f>IF(Encode_tbl[[#This Row],[day]]="Fri",1,0)</f>
        <v>0</v>
      </c>
      <c r="K25">
        <f>IF(Encode_tbl[[#This Row],[day]]="Sat",1,0)</f>
        <v>1</v>
      </c>
      <c r="L25">
        <f>IF(Encode_tbl[[#This Row],[day]]="Sun",1,0)</f>
        <v>0</v>
      </c>
      <c r="M25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5.0725294384593314</v>
      </c>
      <c r="N25" s="6">
        <f>Encode_tbl[[#This Row],[tip]]-Encode_tbl[[#This Row],[predicted Tip]]</f>
        <v>2.5074705615406687</v>
      </c>
      <c r="O25" s="6">
        <f>Encode_tbl[[#This Row],[error]]^2</f>
        <v>6.2874086169930763</v>
      </c>
      <c r="P25" s="7"/>
      <c r="Q25" s="7"/>
    </row>
    <row r="26" spans="1:17" x14ac:dyDescent="0.35">
      <c r="A26" t="s">
        <v>11</v>
      </c>
      <c r="B26" t="s">
        <v>8</v>
      </c>
      <c r="C26" t="s">
        <v>21</v>
      </c>
      <c r="D26" t="s">
        <v>10</v>
      </c>
      <c r="E26">
        <v>3.18</v>
      </c>
      <c r="F26">
        <v>2</v>
      </c>
      <c r="G26">
        <v>19.82</v>
      </c>
      <c r="H26">
        <f>IF(Encode_tbl[[#This Row],[sex]]="Male",1,0)</f>
        <v>1</v>
      </c>
      <c r="I26">
        <f>IF(Encode_tbl[[#This Row],[smoker]]="Yes",1,0)</f>
        <v>0</v>
      </c>
      <c r="J26">
        <f>IF(Encode_tbl[[#This Row],[day]]="Fri",1,0)</f>
        <v>0</v>
      </c>
      <c r="K26">
        <f>IF(Encode_tbl[[#This Row],[day]]="Sat",1,0)</f>
        <v>1</v>
      </c>
      <c r="L26">
        <f>IF(Encode_tbl[[#This Row],[day]]="Sun",1,0)</f>
        <v>0</v>
      </c>
      <c r="M26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2.8713460570213396</v>
      </c>
      <c r="N26" s="6">
        <f>Encode_tbl[[#This Row],[tip]]-Encode_tbl[[#This Row],[predicted Tip]]</f>
        <v>0.30865394297866056</v>
      </c>
      <c r="O26" s="6">
        <f>Encode_tbl[[#This Row],[error]]^2</f>
        <v>9.526725651627424E-2</v>
      </c>
      <c r="P26" s="7"/>
      <c r="Q26" s="7"/>
    </row>
    <row r="27" spans="1:17" x14ac:dyDescent="0.35">
      <c r="A27" t="s">
        <v>11</v>
      </c>
      <c r="B27" t="s">
        <v>8</v>
      </c>
      <c r="C27" t="s">
        <v>21</v>
      </c>
      <c r="D27" t="s">
        <v>10</v>
      </c>
      <c r="E27">
        <v>2.34</v>
      </c>
      <c r="F27">
        <v>4</v>
      </c>
      <c r="G27">
        <v>17.809999999999999</v>
      </c>
      <c r="H27">
        <f>IF(Encode_tbl[[#This Row],[sex]]="Male",1,0)</f>
        <v>1</v>
      </c>
      <c r="I27">
        <f>IF(Encode_tbl[[#This Row],[smoker]]="Yes",1,0)</f>
        <v>0</v>
      </c>
      <c r="J27">
        <f>IF(Encode_tbl[[#This Row],[day]]="Fri",1,0)</f>
        <v>0</v>
      </c>
      <c r="K27">
        <f>IF(Encode_tbl[[#This Row],[day]]="Sat",1,0)</f>
        <v>1</v>
      </c>
      <c r="L27">
        <f>IF(Encode_tbl[[#This Row],[day]]="Sun",1,0)</f>
        <v>0</v>
      </c>
      <c r="M27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3.0361263269612255</v>
      </c>
      <c r="N27" s="6">
        <f>Encode_tbl[[#This Row],[tip]]-Encode_tbl[[#This Row],[predicted Tip]]</f>
        <v>-0.69612632696122567</v>
      </c>
      <c r="O27" s="6">
        <f>Encode_tbl[[#This Row],[error]]^2</f>
        <v>0.48459186308852725</v>
      </c>
      <c r="P27" s="7"/>
      <c r="Q27" s="7"/>
    </row>
    <row r="28" spans="1:17" x14ac:dyDescent="0.35">
      <c r="A28" t="s">
        <v>11</v>
      </c>
      <c r="B28" t="s">
        <v>8</v>
      </c>
      <c r="C28" t="s">
        <v>21</v>
      </c>
      <c r="D28" t="s">
        <v>10</v>
      </c>
      <c r="E28">
        <v>2</v>
      </c>
      <c r="F28">
        <v>2</v>
      </c>
      <c r="G28">
        <v>13.37</v>
      </c>
      <c r="H28">
        <f>IF(Encode_tbl[[#This Row],[sex]]="Male",1,0)</f>
        <v>1</v>
      </c>
      <c r="I28">
        <f>IF(Encode_tbl[[#This Row],[smoker]]="Yes",1,0)</f>
        <v>0</v>
      </c>
      <c r="J28">
        <f>IF(Encode_tbl[[#This Row],[day]]="Fri",1,0)</f>
        <v>0</v>
      </c>
      <c r="K28">
        <f>IF(Encode_tbl[[#This Row],[day]]="Sat",1,0)</f>
        <v>1</v>
      </c>
      <c r="L28">
        <f>IF(Encode_tbl[[#This Row],[day]]="Sun",1,0)</f>
        <v>0</v>
      </c>
      <c r="M28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2.2635348553016357</v>
      </c>
      <c r="N28" s="6">
        <f>Encode_tbl[[#This Row],[tip]]-Encode_tbl[[#This Row],[predicted Tip]]</f>
        <v>-0.26353485530163567</v>
      </c>
      <c r="O28" s="6">
        <f>Encode_tbl[[#This Row],[error]]^2</f>
        <v>6.9450619958854057E-2</v>
      </c>
      <c r="P28" s="7"/>
      <c r="Q28" s="7"/>
    </row>
    <row r="29" spans="1:17" x14ac:dyDescent="0.35">
      <c r="A29" t="s">
        <v>11</v>
      </c>
      <c r="B29" t="s">
        <v>8</v>
      </c>
      <c r="C29" t="s">
        <v>21</v>
      </c>
      <c r="D29" t="s">
        <v>10</v>
      </c>
      <c r="E29">
        <v>2</v>
      </c>
      <c r="F29">
        <v>2</v>
      </c>
      <c r="G29">
        <v>12.69</v>
      </c>
      <c r="H29">
        <f>IF(Encode_tbl[[#This Row],[sex]]="Male",1,0)</f>
        <v>1</v>
      </c>
      <c r="I29">
        <f>IF(Encode_tbl[[#This Row],[smoker]]="Yes",1,0)</f>
        <v>0</v>
      </c>
      <c r="J29">
        <f>IF(Encode_tbl[[#This Row],[day]]="Fri",1,0)</f>
        <v>0</v>
      </c>
      <c r="K29">
        <f>IF(Encode_tbl[[#This Row],[day]]="Sat",1,0)</f>
        <v>1</v>
      </c>
      <c r="L29">
        <f>IF(Encode_tbl[[#This Row],[day]]="Sun",1,0)</f>
        <v>0</v>
      </c>
      <c r="M29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2.1994555348102565</v>
      </c>
      <c r="N29" s="6">
        <f>Encode_tbl[[#This Row],[tip]]-Encode_tbl[[#This Row],[predicted Tip]]</f>
        <v>-0.19945553481025646</v>
      </c>
      <c r="O29" s="6">
        <f>Encode_tbl[[#This Row],[error]]^2</f>
        <v>3.978251036644543E-2</v>
      </c>
      <c r="P29" s="7"/>
      <c r="Q29" s="7"/>
    </row>
    <row r="30" spans="1:17" x14ac:dyDescent="0.35">
      <c r="A30" t="s">
        <v>11</v>
      </c>
      <c r="B30" t="s">
        <v>8</v>
      </c>
      <c r="C30" t="s">
        <v>21</v>
      </c>
      <c r="D30" t="s">
        <v>10</v>
      </c>
      <c r="E30">
        <v>4.3</v>
      </c>
      <c r="F30">
        <v>2</v>
      </c>
      <c r="G30">
        <v>21.7</v>
      </c>
      <c r="H30">
        <f>IF(Encode_tbl[[#This Row],[sex]]="Male",1,0)</f>
        <v>1</v>
      </c>
      <c r="I30">
        <f>IF(Encode_tbl[[#This Row],[smoker]]="Yes",1,0)</f>
        <v>0</v>
      </c>
      <c r="J30">
        <f>IF(Encode_tbl[[#This Row],[day]]="Fri",1,0)</f>
        <v>0</v>
      </c>
      <c r="K30">
        <f>IF(Encode_tbl[[#This Row],[day]]="Sat",1,0)</f>
        <v>1</v>
      </c>
      <c r="L30">
        <f>IF(Encode_tbl[[#This Row],[day]]="Sun",1,0)</f>
        <v>0</v>
      </c>
      <c r="M30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3.0485065313210358</v>
      </c>
      <c r="N30" s="6">
        <f>Encode_tbl[[#This Row],[tip]]-Encode_tbl[[#This Row],[predicted Tip]]</f>
        <v>1.251493468678964</v>
      </c>
      <c r="O30" s="6">
        <f>Encode_tbl[[#This Row],[error]]^2</f>
        <v>1.5662359021461052</v>
      </c>
      <c r="P30" s="7"/>
      <c r="Q30" s="7"/>
    </row>
    <row r="31" spans="1:17" x14ac:dyDescent="0.35">
      <c r="A31" t="s">
        <v>7</v>
      </c>
      <c r="B31" t="s">
        <v>8</v>
      </c>
      <c r="C31" t="s">
        <v>21</v>
      </c>
      <c r="D31" t="s">
        <v>10</v>
      </c>
      <c r="E31">
        <v>3</v>
      </c>
      <c r="F31">
        <v>2</v>
      </c>
      <c r="G31">
        <v>19.649999999999999</v>
      </c>
      <c r="H31">
        <f>IF(Encode_tbl[[#This Row],[sex]]="Male",1,0)</f>
        <v>0</v>
      </c>
      <c r="I31">
        <f>IF(Encode_tbl[[#This Row],[smoker]]="Yes",1,0)</f>
        <v>0</v>
      </c>
      <c r="J31">
        <f>IF(Encode_tbl[[#This Row],[day]]="Fri",1,0)</f>
        <v>0</v>
      </c>
      <c r="K31">
        <f>IF(Encode_tbl[[#This Row],[day]]="Sat",1,0)</f>
        <v>1</v>
      </c>
      <c r="L31">
        <f>IF(Encode_tbl[[#This Row],[day]]="Sun",1,0)</f>
        <v>0</v>
      </c>
      <c r="M31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2.8896265696013335</v>
      </c>
      <c r="N31" s="6">
        <f>Encode_tbl[[#This Row],[tip]]-Encode_tbl[[#This Row],[predicted Tip]]</f>
        <v>0.11037343039866654</v>
      </c>
      <c r="O31" s="6">
        <f>Encode_tbl[[#This Row],[error]]^2</f>
        <v>1.2182294137969287E-2</v>
      </c>
      <c r="P31" s="7"/>
      <c r="Q31" s="7"/>
    </row>
    <row r="32" spans="1:17" x14ac:dyDescent="0.35">
      <c r="A32" t="s">
        <v>11</v>
      </c>
      <c r="B32" t="s">
        <v>8</v>
      </c>
      <c r="C32" t="s">
        <v>21</v>
      </c>
      <c r="D32" t="s">
        <v>10</v>
      </c>
      <c r="E32">
        <v>1.45</v>
      </c>
      <c r="F32">
        <v>2</v>
      </c>
      <c r="G32">
        <v>9.5500000000000007</v>
      </c>
      <c r="H32">
        <f>IF(Encode_tbl[[#This Row],[sex]]="Male",1,0)</f>
        <v>1</v>
      </c>
      <c r="I32">
        <f>IF(Encode_tbl[[#This Row],[smoker]]="Yes",1,0)</f>
        <v>0</v>
      </c>
      <c r="J32">
        <f>IF(Encode_tbl[[#This Row],[day]]="Fri",1,0)</f>
        <v>0</v>
      </c>
      <c r="K32">
        <f>IF(Encode_tbl[[#This Row],[day]]="Sat",1,0)</f>
        <v>1</v>
      </c>
      <c r="L32">
        <f>IF(Encode_tbl[[#This Row],[day]]="Sun",1,0)</f>
        <v>0</v>
      </c>
      <c r="M32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1.9035598490118271</v>
      </c>
      <c r="N32" s="6">
        <f>Encode_tbl[[#This Row],[tip]]-Encode_tbl[[#This Row],[predicted Tip]]</f>
        <v>-0.45355984901182711</v>
      </c>
      <c r="O32" s="6">
        <f>Encode_tbl[[#This Row],[error]]^2</f>
        <v>0.20571653663563141</v>
      </c>
      <c r="P32" s="7"/>
      <c r="Q32" s="7"/>
    </row>
    <row r="33" spans="1:17" x14ac:dyDescent="0.35">
      <c r="A33" t="s">
        <v>11</v>
      </c>
      <c r="B33" t="s">
        <v>8</v>
      </c>
      <c r="C33" t="s">
        <v>21</v>
      </c>
      <c r="D33" t="s">
        <v>10</v>
      </c>
      <c r="E33">
        <v>2.5</v>
      </c>
      <c r="F33">
        <v>4</v>
      </c>
      <c r="G33">
        <v>18.350000000000001</v>
      </c>
      <c r="H33">
        <f>IF(Encode_tbl[[#This Row],[sex]]="Male",1,0)</f>
        <v>1</v>
      </c>
      <c r="I33">
        <f>IF(Encode_tbl[[#This Row],[smoker]]="Yes",1,0)</f>
        <v>0</v>
      </c>
      <c r="J33">
        <f>IF(Encode_tbl[[#This Row],[day]]="Fri",1,0)</f>
        <v>0</v>
      </c>
      <c r="K33">
        <f>IF(Encode_tbl[[#This Row],[day]]="Sat",1,0)</f>
        <v>1</v>
      </c>
      <c r="L33">
        <f>IF(Encode_tbl[[#This Row],[day]]="Sun",1,0)</f>
        <v>0</v>
      </c>
      <c r="M33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3.0870128461749684</v>
      </c>
      <c r="N33" s="6">
        <f>Encode_tbl[[#This Row],[tip]]-Encode_tbl[[#This Row],[predicted Tip]]</f>
        <v>-0.58701284617496841</v>
      </c>
      <c r="O33" s="6">
        <f>Encode_tbl[[#This Row],[error]]^2</f>
        <v>0.3445840815744371</v>
      </c>
      <c r="P33" s="7"/>
      <c r="Q33" s="7"/>
    </row>
    <row r="34" spans="1:17" x14ac:dyDescent="0.35">
      <c r="A34" t="s">
        <v>7</v>
      </c>
      <c r="B34" t="s">
        <v>8</v>
      </c>
      <c r="C34" t="s">
        <v>21</v>
      </c>
      <c r="D34" t="s">
        <v>10</v>
      </c>
      <c r="E34">
        <v>3</v>
      </c>
      <c r="F34">
        <v>2</v>
      </c>
      <c r="G34">
        <v>15.06</v>
      </c>
      <c r="H34">
        <f>IF(Encode_tbl[[#This Row],[sex]]="Male",1,0)</f>
        <v>0</v>
      </c>
      <c r="I34">
        <f>IF(Encode_tbl[[#This Row],[smoker]]="Yes",1,0)</f>
        <v>0</v>
      </c>
      <c r="J34">
        <f>IF(Encode_tbl[[#This Row],[day]]="Fri",1,0)</f>
        <v>0</v>
      </c>
      <c r="K34">
        <f>IF(Encode_tbl[[#This Row],[day]]="Sat",1,0)</f>
        <v>1</v>
      </c>
      <c r="L34">
        <f>IF(Encode_tbl[[#This Row],[day]]="Sun",1,0)</f>
        <v>0</v>
      </c>
      <c r="M34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2.4570911562845215</v>
      </c>
      <c r="N34" s="6">
        <f>Encode_tbl[[#This Row],[tip]]-Encode_tbl[[#This Row],[predicted Tip]]</f>
        <v>0.54290884371547854</v>
      </c>
      <c r="O34" s="6">
        <f>Encode_tbl[[#This Row],[error]]^2</f>
        <v>0.29475001258447792</v>
      </c>
      <c r="P34" s="7"/>
      <c r="Q34" s="7"/>
    </row>
    <row r="35" spans="1:17" x14ac:dyDescent="0.35">
      <c r="A35" t="s">
        <v>7</v>
      </c>
      <c r="B35" t="s">
        <v>8</v>
      </c>
      <c r="C35" t="s">
        <v>21</v>
      </c>
      <c r="D35" t="s">
        <v>10</v>
      </c>
      <c r="E35">
        <v>2.4500000000000002</v>
      </c>
      <c r="F35">
        <v>4</v>
      </c>
      <c r="G35">
        <v>20.69</v>
      </c>
      <c r="H35">
        <f>IF(Encode_tbl[[#This Row],[sex]]="Male",1,0)</f>
        <v>0</v>
      </c>
      <c r="I35">
        <f>IF(Encode_tbl[[#This Row],[smoker]]="Yes",1,0)</f>
        <v>0</v>
      </c>
      <c r="J35">
        <f>IF(Encode_tbl[[#This Row],[day]]="Fri",1,0)</f>
        <v>0</v>
      </c>
      <c r="K35">
        <f>IF(Encode_tbl[[#This Row],[day]]="Sat",1,0)</f>
        <v>1</v>
      </c>
      <c r="L35">
        <f>IF(Encode_tbl[[#This Row],[day]]="Sun",1,0)</f>
        <v>0</v>
      </c>
      <c r="M35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3.3418214388040255</v>
      </c>
      <c r="N35" s="6">
        <f>Encode_tbl[[#This Row],[tip]]-Encode_tbl[[#This Row],[predicted Tip]]</f>
        <v>-0.89182143880402531</v>
      </c>
      <c r="O35" s="6">
        <f>Encode_tbl[[#This Row],[error]]^2</f>
        <v>0.79534547871048189</v>
      </c>
      <c r="P35" s="7"/>
      <c r="Q35" s="7"/>
    </row>
    <row r="36" spans="1:17" x14ac:dyDescent="0.35">
      <c r="A36" t="s">
        <v>11</v>
      </c>
      <c r="B36" t="s">
        <v>8</v>
      </c>
      <c r="C36" t="s">
        <v>21</v>
      </c>
      <c r="D36" t="s">
        <v>10</v>
      </c>
      <c r="E36">
        <v>3.27</v>
      </c>
      <c r="F36">
        <v>2</v>
      </c>
      <c r="G36">
        <v>17.78</v>
      </c>
      <c r="H36">
        <f>IF(Encode_tbl[[#This Row],[sex]]="Male",1,0)</f>
        <v>1</v>
      </c>
      <c r="I36">
        <f>IF(Encode_tbl[[#This Row],[smoker]]="Yes",1,0)</f>
        <v>0</v>
      </c>
      <c r="J36">
        <f>IF(Encode_tbl[[#This Row],[day]]="Fri",1,0)</f>
        <v>0</v>
      </c>
      <c r="K36">
        <f>IF(Encode_tbl[[#This Row],[day]]="Sat",1,0)</f>
        <v>1</v>
      </c>
      <c r="L36">
        <f>IF(Encode_tbl[[#This Row],[day]]="Sun",1,0)</f>
        <v>0</v>
      </c>
      <c r="M36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2.6791080955472006</v>
      </c>
      <c r="N36" s="6">
        <f>Encode_tbl[[#This Row],[tip]]-Encode_tbl[[#This Row],[predicted Tip]]</f>
        <v>0.59089190445279938</v>
      </c>
      <c r="O36" s="6">
        <f>Encode_tbl[[#This Row],[error]]^2</f>
        <v>0.3491532427478562</v>
      </c>
      <c r="P36" s="7"/>
      <c r="Q36" s="7"/>
    </row>
    <row r="37" spans="1:17" x14ac:dyDescent="0.35">
      <c r="A37" t="s">
        <v>11</v>
      </c>
      <c r="B37" t="s">
        <v>8</v>
      </c>
      <c r="C37" t="s">
        <v>21</v>
      </c>
      <c r="D37" t="s">
        <v>10</v>
      </c>
      <c r="E37">
        <v>3.6</v>
      </c>
      <c r="F37">
        <v>3</v>
      </c>
      <c r="G37">
        <v>24.06</v>
      </c>
      <c r="H37">
        <f>IF(Encode_tbl[[#This Row],[sex]]="Male",1,0)</f>
        <v>1</v>
      </c>
      <c r="I37">
        <f>IF(Encode_tbl[[#This Row],[smoker]]="Yes",1,0)</f>
        <v>0</v>
      </c>
      <c r="J37">
        <f>IF(Encode_tbl[[#This Row],[day]]="Fri",1,0)</f>
        <v>0</v>
      </c>
      <c r="K37">
        <f>IF(Encode_tbl[[#This Row],[day]]="Sat",1,0)</f>
        <v>1</v>
      </c>
      <c r="L37">
        <f>IF(Encode_tbl[[#This Row],[day]]="Sun",1,0)</f>
        <v>0</v>
      </c>
      <c r="M37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3.4479950684284675</v>
      </c>
      <c r="N37" s="6">
        <f>Encode_tbl[[#This Row],[tip]]-Encode_tbl[[#This Row],[predicted Tip]]</f>
        <v>0.15200493157153261</v>
      </c>
      <c r="O37" s="6">
        <f>Encode_tbl[[#This Row],[error]]^2</f>
        <v>2.3105499222066311E-2</v>
      </c>
      <c r="P37" s="7"/>
      <c r="Q37" s="7"/>
    </row>
    <row r="38" spans="1:17" x14ac:dyDescent="0.35">
      <c r="A38" t="s">
        <v>11</v>
      </c>
      <c r="B38" t="s">
        <v>8</v>
      </c>
      <c r="C38" t="s">
        <v>21</v>
      </c>
      <c r="D38" t="s">
        <v>10</v>
      </c>
      <c r="E38">
        <v>2</v>
      </c>
      <c r="F38">
        <v>3</v>
      </c>
      <c r="G38">
        <v>16.309999999999999</v>
      </c>
      <c r="H38">
        <f>IF(Encode_tbl[[#This Row],[sex]]="Male",1,0)</f>
        <v>1</v>
      </c>
      <c r="I38">
        <f>IF(Encode_tbl[[#This Row],[smoker]]="Yes",1,0)</f>
        <v>0</v>
      </c>
      <c r="J38">
        <f>IF(Encode_tbl[[#This Row],[day]]="Fri",1,0)</f>
        <v>0</v>
      </c>
      <c r="K38">
        <f>IF(Encode_tbl[[#This Row],[day]]="Sat",1,0)</f>
        <v>1</v>
      </c>
      <c r="L38">
        <f>IF(Encode_tbl[[#This Row],[day]]="Sun",1,0)</f>
        <v>0</v>
      </c>
      <c r="M38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2.7176792834164205</v>
      </c>
      <c r="N38" s="6">
        <f>Encode_tbl[[#This Row],[tip]]-Encode_tbl[[#This Row],[predicted Tip]]</f>
        <v>-0.71767928341642051</v>
      </c>
      <c r="O38" s="6">
        <f>Encode_tbl[[#This Row],[error]]^2</f>
        <v>0.51506355384510683</v>
      </c>
      <c r="P38" s="7"/>
      <c r="Q38" s="7"/>
    </row>
    <row r="39" spans="1:17" x14ac:dyDescent="0.35">
      <c r="A39" t="s">
        <v>7</v>
      </c>
      <c r="B39" t="s">
        <v>8</v>
      </c>
      <c r="C39" t="s">
        <v>21</v>
      </c>
      <c r="D39" t="s">
        <v>10</v>
      </c>
      <c r="E39">
        <v>3.07</v>
      </c>
      <c r="F39">
        <v>3</v>
      </c>
      <c r="G39">
        <v>16.93</v>
      </c>
      <c r="H39">
        <f>IF(Encode_tbl[[#This Row],[sex]]="Male",1,0)</f>
        <v>0</v>
      </c>
      <c r="I39">
        <f>IF(Encode_tbl[[#This Row],[smoker]]="Yes",1,0)</f>
        <v>0</v>
      </c>
      <c r="J39">
        <f>IF(Encode_tbl[[#This Row],[day]]="Fri",1,0)</f>
        <v>0</v>
      </c>
      <c r="K39">
        <f>IF(Encode_tbl[[#This Row],[day]]="Sat",1,0)</f>
        <v>1</v>
      </c>
      <c r="L39">
        <f>IF(Encode_tbl[[#This Row],[day]]="Sun",1,0)</f>
        <v>0</v>
      </c>
      <c r="M39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2.8104048889202233</v>
      </c>
      <c r="N39" s="6">
        <f>Encode_tbl[[#This Row],[tip]]-Encode_tbl[[#This Row],[predicted Tip]]</f>
        <v>0.25959511107977651</v>
      </c>
      <c r="O39" s="6">
        <f>Encode_tbl[[#This Row],[error]]^2</f>
        <v>6.7389621696521504E-2</v>
      </c>
      <c r="P39" s="7"/>
      <c r="Q39" s="7"/>
    </row>
    <row r="40" spans="1:17" x14ac:dyDescent="0.35">
      <c r="A40" t="s">
        <v>11</v>
      </c>
      <c r="B40" t="s">
        <v>8</v>
      </c>
      <c r="C40" t="s">
        <v>21</v>
      </c>
      <c r="D40" t="s">
        <v>10</v>
      </c>
      <c r="E40">
        <v>2.31</v>
      </c>
      <c r="F40">
        <v>3</v>
      </c>
      <c r="G40">
        <v>18.690000000000001</v>
      </c>
      <c r="H40">
        <f>IF(Encode_tbl[[#This Row],[sex]]="Male",1,0)</f>
        <v>1</v>
      </c>
      <c r="I40">
        <f>IF(Encode_tbl[[#This Row],[smoker]]="Yes",1,0)</f>
        <v>0</v>
      </c>
      <c r="J40">
        <f>IF(Encode_tbl[[#This Row],[day]]="Fri",1,0)</f>
        <v>0</v>
      </c>
      <c r="K40">
        <f>IF(Encode_tbl[[#This Row],[day]]="Sat",1,0)</f>
        <v>1</v>
      </c>
      <c r="L40">
        <f>IF(Encode_tbl[[#This Row],[day]]="Sun",1,0)</f>
        <v>0</v>
      </c>
      <c r="M40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2.9419569051362497</v>
      </c>
      <c r="N40" s="6">
        <f>Encode_tbl[[#This Row],[tip]]-Encode_tbl[[#This Row],[predicted Tip]]</f>
        <v>-0.63195690513624969</v>
      </c>
      <c r="O40" s="6">
        <f>Encode_tbl[[#This Row],[error]]^2</f>
        <v>0.3993695299493869</v>
      </c>
      <c r="P40" s="7"/>
      <c r="Q40" s="7"/>
    </row>
    <row r="41" spans="1:17" x14ac:dyDescent="0.35">
      <c r="A41" t="s">
        <v>11</v>
      </c>
      <c r="B41" t="s">
        <v>8</v>
      </c>
      <c r="C41" t="s">
        <v>21</v>
      </c>
      <c r="D41" t="s">
        <v>10</v>
      </c>
      <c r="E41">
        <v>5</v>
      </c>
      <c r="F41">
        <v>3</v>
      </c>
      <c r="G41">
        <v>31.27</v>
      </c>
      <c r="H41">
        <f>IF(Encode_tbl[[#This Row],[sex]]="Male",1,0)</f>
        <v>1</v>
      </c>
      <c r="I41">
        <f>IF(Encode_tbl[[#This Row],[smoker]]="Yes",1,0)</f>
        <v>0</v>
      </c>
      <c r="J41">
        <f>IF(Encode_tbl[[#This Row],[day]]="Fri",1,0)</f>
        <v>0</v>
      </c>
      <c r="K41">
        <f>IF(Encode_tbl[[#This Row],[day]]="Sat",1,0)</f>
        <v>1</v>
      </c>
      <c r="L41">
        <f>IF(Encode_tbl[[#This Row],[day]]="Sun",1,0)</f>
        <v>0</v>
      </c>
      <c r="M41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4.1274243342267702</v>
      </c>
      <c r="N41" s="6">
        <f>Encode_tbl[[#This Row],[tip]]-Encode_tbl[[#This Row],[predicted Tip]]</f>
        <v>0.87257566577322976</v>
      </c>
      <c r="O41" s="6">
        <f>Encode_tbl[[#This Row],[error]]^2</f>
        <v>0.76138829249959517</v>
      </c>
      <c r="P41" s="7"/>
      <c r="Q41" s="7"/>
    </row>
    <row r="42" spans="1:17" x14ac:dyDescent="0.35">
      <c r="A42" t="s">
        <v>11</v>
      </c>
      <c r="B42" t="s">
        <v>8</v>
      </c>
      <c r="C42" t="s">
        <v>21</v>
      </c>
      <c r="D42" t="s">
        <v>10</v>
      </c>
      <c r="E42">
        <v>2.2400000000000002</v>
      </c>
      <c r="F42">
        <v>3</v>
      </c>
      <c r="G42">
        <v>16.04</v>
      </c>
      <c r="H42">
        <f>IF(Encode_tbl[[#This Row],[sex]]="Male",1,0)</f>
        <v>1</v>
      </c>
      <c r="I42">
        <f>IF(Encode_tbl[[#This Row],[smoker]]="Yes",1,0)</f>
        <v>0</v>
      </c>
      <c r="J42">
        <f>IF(Encode_tbl[[#This Row],[day]]="Fri",1,0)</f>
        <v>0</v>
      </c>
      <c r="K42">
        <f>IF(Encode_tbl[[#This Row],[day]]="Sat",1,0)</f>
        <v>1</v>
      </c>
      <c r="L42">
        <f>IF(Encode_tbl[[#This Row],[day]]="Sun",1,0)</f>
        <v>0</v>
      </c>
      <c r="M42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2.6922360238095493</v>
      </c>
      <c r="N42" s="6">
        <f>Encode_tbl[[#This Row],[tip]]-Encode_tbl[[#This Row],[predicted Tip]]</f>
        <v>-0.45223602380954908</v>
      </c>
      <c r="O42" s="6">
        <f>Encode_tbl[[#This Row],[error]]^2</f>
        <v>0.20451742123107106</v>
      </c>
      <c r="P42" s="7"/>
      <c r="Q42" s="7"/>
    </row>
    <row r="43" spans="1:17" x14ac:dyDescent="0.35">
      <c r="A43" t="s">
        <v>11</v>
      </c>
      <c r="B43" t="s">
        <v>8</v>
      </c>
      <c r="C43" t="s">
        <v>9</v>
      </c>
      <c r="D43" t="s">
        <v>10</v>
      </c>
      <c r="E43">
        <v>2.54</v>
      </c>
      <c r="F43">
        <v>2</v>
      </c>
      <c r="G43">
        <v>17.46</v>
      </c>
      <c r="H43">
        <f>IF(Encode_tbl[[#This Row],[sex]]="Male",1,0)</f>
        <v>1</v>
      </c>
      <c r="I43">
        <f>IF(Encode_tbl[[#This Row],[smoker]]="Yes",1,0)</f>
        <v>0</v>
      </c>
      <c r="J43">
        <f>IF(Encode_tbl[[#This Row],[day]]="Fri",1,0)</f>
        <v>0</v>
      </c>
      <c r="K43">
        <f>IF(Encode_tbl[[#This Row],[day]]="Sat",1,0)</f>
        <v>0</v>
      </c>
      <c r="L43">
        <f>IF(Encode_tbl[[#This Row],[day]]="Sun",1,0)</f>
        <v>1</v>
      </c>
      <c r="M43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2.7460725717026184</v>
      </c>
      <c r="N43" s="6">
        <f>Encode_tbl[[#This Row],[tip]]-Encode_tbl[[#This Row],[predicted Tip]]</f>
        <v>-0.20607257170261839</v>
      </c>
      <c r="O43" s="6">
        <f>Encode_tbl[[#This Row],[error]]^2</f>
        <v>4.2465904808130797E-2</v>
      </c>
      <c r="P43" s="7"/>
      <c r="Q43" s="7"/>
    </row>
    <row r="44" spans="1:17" x14ac:dyDescent="0.35">
      <c r="A44" t="s">
        <v>11</v>
      </c>
      <c r="B44" t="s">
        <v>8</v>
      </c>
      <c r="C44" t="s">
        <v>9</v>
      </c>
      <c r="D44" t="s">
        <v>10</v>
      </c>
      <c r="E44">
        <v>3.06</v>
      </c>
      <c r="F44">
        <v>2</v>
      </c>
      <c r="G44">
        <v>13.94</v>
      </c>
      <c r="H44">
        <f>IF(Encode_tbl[[#This Row],[sex]]="Male",1,0)</f>
        <v>1</v>
      </c>
      <c r="I44">
        <f>IF(Encode_tbl[[#This Row],[smoker]]="Yes",1,0)</f>
        <v>0</v>
      </c>
      <c r="J44">
        <f>IF(Encode_tbl[[#This Row],[day]]="Fri",1,0)</f>
        <v>0</v>
      </c>
      <c r="K44">
        <f>IF(Encode_tbl[[#This Row],[day]]="Sat",1,0)</f>
        <v>0</v>
      </c>
      <c r="L44">
        <f>IF(Encode_tbl[[#This Row],[day]]="Sun",1,0)</f>
        <v>1</v>
      </c>
      <c r="M44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2.4143678538648889</v>
      </c>
      <c r="N44" s="6">
        <f>Encode_tbl[[#This Row],[tip]]-Encode_tbl[[#This Row],[predicted Tip]]</f>
        <v>0.64563214613511111</v>
      </c>
      <c r="O44" s="6">
        <f>Encode_tbl[[#This Row],[error]]^2</f>
        <v>0.41684086812302945</v>
      </c>
      <c r="P44" s="7"/>
      <c r="Q44" s="7"/>
    </row>
    <row r="45" spans="1:17" x14ac:dyDescent="0.35">
      <c r="A45" t="s">
        <v>11</v>
      </c>
      <c r="B45" t="s">
        <v>8</v>
      </c>
      <c r="C45" t="s">
        <v>9</v>
      </c>
      <c r="D45" t="s">
        <v>10</v>
      </c>
      <c r="E45">
        <v>1.32</v>
      </c>
      <c r="F45">
        <v>2</v>
      </c>
      <c r="G45">
        <v>9.68</v>
      </c>
      <c r="H45">
        <f>IF(Encode_tbl[[#This Row],[sex]]="Male",1,0)</f>
        <v>1</v>
      </c>
      <c r="I45">
        <f>IF(Encode_tbl[[#This Row],[smoker]]="Yes",1,0)</f>
        <v>0</v>
      </c>
      <c r="J45">
        <f>IF(Encode_tbl[[#This Row],[day]]="Fri",1,0)</f>
        <v>0</v>
      </c>
      <c r="K45">
        <f>IF(Encode_tbl[[#This Row],[day]]="Sat",1,0)</f>
        <v>0</v>
      </c>
      <c r="L45">
        <f>IF(Encode_tbl[[#This Row],[day]]="Sun",1,0)</f>
        <v>1</v>
      </c>
      <c r="M45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2.012929757845364</v>
      </c>
      <c r="N45" s="6">
        <f>Encode_tbl[[#This Row],[tip]]-Encode_tbl[[#This Row],[predicted Tip]]</f>
        <v>-0.69292975784536393</v>
      </c>
      <c r="O45" s="6">
        <f>Encode_tbl[[#This Row],[error]]^2</f>
        <v>0.48015164930763471</v>
      </c>
      <c r="P45" s="7"/>
      <c r="Q45" s="7"/>
    </row>
    <row r="46" spans="1:17" x14ac:dyDescent="0.35">
      <c r="A46" t="s">
        <v>11</v>
      </c>
      <c r="B46" t="s">
        <v>8</v>
      </c>
      <c r="C46" t="s">
        <v>9</v>
      </c>
      <c r="D46" t="s">
        <v>10</v>
      </c>
      <c r="E46">
        <v>5.6</v>
      </c>
      <c r="F46">
        <v>4</v>
      </c>
      <c r="G46">
        <v>30.4</v>
      </c>
      <c r="H46">
        <f>IF(Encode_tbl[[#This Row],[sex]]="Male",1,0)</f>
        <v>1</v>
      </c>
      <c r="I46">
        <f>IF(Encode_tbl[[#This Row],[smoker]]="Yes",1,0)</f>
        <v>0</v>
      </c>
      <c r="J46">
        <f>IF(Encode_tbl[[#This Row],[day]]="Fri",1,0)</f>
        <v>0</v>
      </c>
      <c r="K46">
        <f>IF(Encode_tbl[[#This Row],[day]]="Sat",1,0)</f>
        <v>0</v>
      </c>
      <c r="L46">
        <f>IF(Encode_tbl[[#This Row],[day]]="Sun",1,0)</f>
        <v>1</v>
      </c>
      <c r="M46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4.3196555495044526</v>
      </c>
      <c r="N46" s="6">
        <f>Encode_tbl[[#This Row],[tip]]-Encode_tbl[[#This Row],[predicted Tip]]</f>
        <v>1.280344450495547</v>
      </c>
      <c r="O46" s="6">
        <f>Encode_tbl[[#This Row],[error]]^2</f>
        <v>1.6392819119147441</v>
      </c>
      <c r="P46" s="7"/>
      <c r="Q46" s="7"/>
    </row>
    <row r="47" spans="1:17" x14ac:dyDescent="0.35">
      <c r="A47" t="s">
        <v>11</v>
      </c>
      <c r="B47" t="s">
        <v>8</v>
      </c>
      <c r="C47" t="s">
        <v>9</v>
      </c>
      <c r="D47" t="s">
        <v>10</v>
      </c>
      <c r="E47">
        <v>3</v>
      </c>
      <c r="F47">
        <v>2</v>
      </c>
      <c r="G47">
        <v>18.29</v>
      </c>
      <c r="H47">
        <f>IF(Encode_tbl[[#This Row],[sex]]="Male",1,0)</f>
        <v>1</v>
      </c>
      <c r="I47">
        <f>IF(Encode_tbl[[#This Row],[smoker]]="Yes",1,0)</f>
        <v>0</v>
      </c>
      <c r="J47">
        <f>IF(Encode_tbl[[#This Row],[day]]="Fri",1,0)</f>
        <v>0</v>
      </c>
      <c r="K47">
        <f>IF(Encode_tbl[[#This Row],[day]]="Sat",1,0)</f>
        <v>0</v>
      </c>
      <c r="L47">
        <f>IF(Encode_tbl[[#This Row],[day]]="Sun",1,0)</f>
        <v>1</v>
      </c>
      <c r="M47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2.8242870364200376</v>
      </c>
      <c r="N47" s="6">
        <f>Encode_tbl[[#This Row],[tip]]-Encode_tbl[[#This Row],[predicted Tip]]</f>
        <v>0.17571296357996236</v>
      </c>
      <c r="O47" s="6">
        <f>Encode_tbl[[#This Row],[error]]^2</f>
        <v>3.0875045570053179E-2</v>
      </c>
      <c r="P47" s="7"/>
      <c r="Q47" s="7"/>
    </row>
    <row r="48" spans="1:17" x14ac:dyDescent="0.35">
      <c r="A48" t="s">
        <v>11</v>
      </c>
      <c r="B48" t="s">
        <v>8</v>
      </c>
      <c r="C48" t="s">
        <v>9</v>
      </c>
      <c r="D48" t="s">
        <v>10</v>
      </c>
      <c r="E48">
        <v>5</v>
      </c>
      <c r="F48">
        <v>2</v>
      </c>
      <c r="G48">
        <v>22.23</v>
      </c>
      <c r="H48">
        <f>IF(Encode_tbl[[#This Row],[sex]]="Male",1,0)</f>
        <v>1</v>
      </c>
      <c r="I48">
        <f>IF(Encode_tbl[[#This Row],[smoker]]="Yes",1,0)</f>
        <v>0</v>
      </c>
      <c r="J48">
        <f>IF(Encode_tbl[[#This Row],[day]]="Fri",1,0)</f>
        <v>0</v>
      </c>
      <c r="K48">
        <f>IF(Encode_tbl[[#This Row],[day]]="Sat",1,0)</f>
        <v>0</v>
      </c>
      <c r="L48">
        <f>IF(Encode_tbl[[#This Row],[day]]="Sun",1,0)</f>
        <v>1</v>
      </c>
      <c r="M48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3.1955701580906783</v>
      </c>
      <c r="N48" s="6">
        <f>Encode_tbl[[#This Row],[tip]]-Encode_tbl[[#This Row],[predicted Tip]]</f>
        <v>1.8044298419093217</v>
      </c>
      <c r="O48" s="6">
        <f>Encode_tbl[[#This Row],[error]]^2</f>
        <v>3.2559670543728996</v>
      </c>
      <c r="P48" s="7"/>
      <c r="Q48" s="7"/>
    </row>
    <row r="49" spans="1:17" x14ac:dyDescent="0.35">
      <c r="A49" t="s">
        <v>11</v>
      </c>
      <c r="B49" t="s">
        <v>8</v>
      </c>
      <c r="C49" t="s">
        <v>9</v>
      </c>
      <c r="D49" t="s">
        <v>10</v>
      </c>
      <c r="E49">
        <v>6</v>
      </c>
      <c r="F49">
        <v>4</v>
      </c>
      <c r="G49">
        <v>32.4</v>
      </c>
      <c r="H49">
        <f>IF(Encode_tbl[[#This Row],[sex]]="Male",1,0)</f>
        <v>1</v>
      </c>
      <c r="I49">
        <f>IF(Encode_tbl[[#This Row],[smoker]]="Yes",1,0)</f>
        <v>0</v>
      </c>
      <c r="J49">
        <f>IF(Encode_tbl[[#This Row],[day]]="Fri",1,0)</f>
        <v>0</v>
      </c>
      <c r="K49">
        <f>IF(Encode_tbl[[#This Row],[day]]="Sat",1,0)</f>
        <v>0</v>
      </c>
      <c r="L49">
        <f>IF(Encode_tbl[[#This Row],[day]]="Sun",1,0)</f>
        <v>1</v>
      </c>
      <c r="M49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4.5081241391849813</v>
      </c>
      <c r="N49" s="6">
        <f>Encode_tbl[[#This Row],[tip]]-Encode_tbl[[#This Row],[predicted Tip]]</f>
        <v>1.4918758608150187</v>
      </c>
      <c r="O49" s="6">
        <f>Encode_tbl[[#This Row],[error]]^2</f>
        <v>2.2256935840825531</v>
      </c>
      <c r="P49" s="7"/>
      <c r="Q49" s="7"/>
    </row>
    <row r="50" spans="1:17" x14ac:dyDescent="0.35">
      <c r="A50" t="s">
        <v>11</v>
      </c>
      <c r="B50" t="s">
        <v>8</v>
      </c>
      <c r="C50" t="s">
        <v>9</v>
      </c>
      <c r="D50" t="s">
        <v>10</v>
      </c>
      <c r="E50">
        <v>2.0499999999999998</v>
      </c>
      <c r="F50">
        <v>3</v>
      </c>
      <c r="G50">
        <v>28.55</v>
      </c>
      <c r="H50">
        <f>IF(Encode_tbl[[#This Row],[sex]]="Male",1,0)</f>
        <v>1</v>
      </c>
      <c r="I50">
        <f>IF(Encode_tbl[[#This Row],[smoker]]="Yes",1,0)</f>
        <v>0</v>
      </c>
      <c r="J50">
        <f>IF(Encode_tbl[[#This Row],[day]]="Fri",1,0)</f>
        <v>0</v>
      </c>
      <c r="K50">
        <f>IF(Encode_tbl[[#This Row],[day]]="Sat",1,0)</f>
        <v>0</v>
      </c>
      <c r="L50">
        <f>IF(Encode_tbl[[#This Row],[day]]="Sun",1,0)</f>
        <v>1</v>
      </c>
      <c r="M50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3.9682265027655559</v>
      </c>
      <c r="N50" s="6">
        <f>Encode_tbl[[#This Row],[tip]]-Encode_tbl[[#This Row],[predicted Tip]]</f>
        <v>-1.9182265027655561</v>
      </c>
      <c r="O50" s="6">
        <f>Encode_tbl[[#This Row],[error]]^2</f>
        <v>3.6795929159121759</v>
      </c>
      <c r="P50" s="7"/>
      <c r="Q50" s="7"/>
    </row>
    <row r="51" spans="1:17" x14ac:dyDescent="0.35">
      <c r="A51" t="s">
        <v>11</v>
      </c>
      <c r="B51" t="s">
        <v>8</v>
      </c>
      <c r="C51" t="s">
        <v>9</v>
      </c>
      <c r="D51" t="s">
        <v>10</v>
      </c>
      <c r="E51">
        <v>3</v>
      </c>
      <c r="F51">
        <v>2</v>
      </c>
      <c r="G51">
        <v>18.04</v>
      </c>
      <c r="H51">
        <f>IF(Encode_tbl[[#This Row],[sex]]="Male",1,0)</f>
        <v>1</v>
      </c>
      <c r="I51">
        <f>IF(Encode_tbl[[#This Row],[smoker]]="Yes",1,0)</f>
        <v>0</v>
      </c>
      <c r="J51">
        <f>IF(Encode_tbl[[#This Row],[day]]="Fri",1,0)</f>
        <v>0</v>
      </c>
      <c r="K51">
        <f>IF(Encode_tbl[[#This Row],[day]]="Sat",1,0)</f>
        <v>0</v>
      </c>
      <c r="L51">
        <f>IF(Encode_tbl[[#This Row],[day]]="Sun",1,0)</f>
        <v>1</v>
      </c>
      <c r="M51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2.800728462709972</v>
      </c>
      <c r="N51" s="6">
        <f>Encode_tbl[[#This Row],[tip]]-Encode_tbl[[#This Row],[predicted Tip]]</f>
        <v>0.199271537290028</v>
      </c>
      <c r="O51" s="6">
        <f>Encode_tbl[[#This Row],[error]]^2</f>
        <v>3.9709145573931022E-2</v>
      </c>
      <c r="P51" s="7"/>
      <c r="Q51" s="7"/>
    </row>
    <row r="52" spans="1:17" x14ac:dyDescent="0.35">
      <c r="A52" t="s">
        <v>11</v>
      </c>
      <c r="B52" t="s">
        <v>8</v>
      </c>
      <c r="C52" t="s">
        <v>9</v>
      </c>
      <c r="D52" t="s">
        <v>10</v>
      </c>
      <c r="E52">
        <v>2.5</v>
      </c>
      <c r="F52">
        <v>2</v>
      </c>
      <c r="G52">
        <v>12.54</v>
      </c>
      <c r="H52">
        <f>IF(Encode_tbl[[#This Row],[sex]]="Male",1,0)</f>
        <v>1</v>
      </c>
      <c r="I52">
        <f>IF(Encode_tbl[[#This Row],[smoker]]="Yes",1,0)</f>
        <v>0</v>
      </c>
      <c r="J52">
        <f>IF(Encode_tbl[[#This Row],[day]]="Fri",1,0)</f>
        <v>0</v>
      </c>
      <c r="K52">
        <f>IF(Encode_tbl[[#This Row],[day]]="Sat",1,0)</f>
        <v>0</v>
      </c>
      <c r="L52">
        <f>IF(Encode_tbl[[#This Row],[day]]="Sun",1,0)</f>
        <v>1</v>
      </c>
      <c r="M52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2.2824398410885189</v>
      </c>
      <c r="N52" s="6">
        <f>Encode_tbl[[#This Row],[tip]]-Encode_tbl[[#This Row],[predicted Tip]]</f>
        <v>0.21756015891148106</v>
      </c>
      <c r="O52" s="6">
        <f>Encode_tbl[[#This Row],[error]]^2</f>
        <v>4.7332422745588895E-2</v>
      </c>
      <c r="P52" s="7"/>
      <c r="Q52" s="7"/>
    </row>
    <row r="53" spans="1:17" x14ac:dyDescent="0.35">
      <c r="A53" t="s">
        <v>7</v>
      </c>
      <c r="B53" t="s">
        <v>8</v>
      </c>
      <c r="C53" t="s">
        <v>9</v>
      </c>
      <c r="D53" t="s">
        <v>10</v>
      </c>
      <c r="E53">
        <v>2.6</v>
      </c>
      <c r="F53">
        <v>2</v>
      </c>
      <c r="G53">
        <v>10.29</v>
      </c>
      <c r="H53">
        <f>IF(Encode_tbl[[#This Row],[sex]]="Male",1,0)</f>
        <v>0</v>
      </c>
      <c r="I53">
        <f>IF(Encode_tbl[[#This Row],[smoker]]="Yes",1,0)</f>
        <v>0</v>
      </c>
      <c r="J53">
        <f>IF(Encode_tbl[[#This Row],[day]]="Fri",1,0)</f>
        <v>0</v>
      </c>
      <c r="K53">
        <f>IF(Encode_tbl[[#This Row],[day]]="Sat",1,0)</f>
        <v>0</v>
      </c>
      <c r="L53">
        <f>IF(Encode_tbl[[#This Row],[day]]="Sun",1,0)</f>
        <v>1</v>
      </c>
      <c r="M53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2.104713020400764</v>
      </c>
      <c r="N53" s="6">
        <f>Encode_tbl[[#This Row],[tip]]-Encode_tbl[[#This Row],[predicted Tip]]</f>
        <v>0.49528697959923607</v>
      </c>
      <c r="O53" s="6">
        <f>Encode_tbl[[#This Row],[error]]^2</f>
        <v>0.2453091921605341</v>
      </c>
      <c r="P53" s="7"/>
      <c r="Q53" s="7"/>
    </row>
    <row r="54" spans="1:17" x14ac:dyDescent="0.35">
      <c r="A54" t="s">
        <v>7</v>
      </c>
      <c r="B54" t="s">
        <v>8</v>
      </c>
      <c r="C54" t="s">
        <v>9</v>
      </c>
      <c r="D54" t="s">
        <v>10</v>
      </c>
      <c r="E54">
        <v>5.2</v>
      </c>
      <c r="F54">
        <v>4</v>
      </c>
      <c r="G54">
        <v>34.81</v>
      </c>
      <c r="H54">
        <f>IF(Encode_tbl[[#This Row],[sex]]="Male",1,0)</f>
        <v>0</v>
      </c>
      <c r="I54">
        <f>IF(Encode_tbl[[#This Row],[smoker]]="Yes",1,0)</f>
        <v>0</v>
      </c>
      <c r="J54">
        <f>IF(Encode_tbl[[#This Row],[day]]="Fri",1,0)</f>
        <v>0</v>
      </c>
      <c r="K54">
        <f>IF(Encode_tbl[[#This Row],[day]]="Sat",1,0)</f>
        <v>0</v>
      </c>
      <c r="L54">
        <f>IF(Encode_tbl[[#This Row],[day]]="Sun",1,0)</f>
        <v>1</v>
      </c>
      <c r="M54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4.769529132452857</v>
      </c>
      <c r="N54" s="6">
        <f>Encode_tbl[[#This Row],[tip]]-Encode_tbl[[#This Row],[predicted Tip]]</f>
        <v>0.43047086754714314</v>
      </c>
      <c r="O54" s="6">
        <f>Encode_tbl[[#This Row],[error]]^2</f>
        <v>0.18530516780679004</v>
      </c>
      <c r="P54" s="7"/>
      <c r="Q54" s="7"/>
    </row>
    <row r="55" spans="1:17" x14ac:dyDescent="0.35">
      <c r="A55" t="s">
        <v>11</v>
      </c>
      <c r="B55" t="s">
        <v>8</v>
      </c>
      <c r="C55" t="s">
        <v>9</v>
      </c>
      <c r="D55" t="s">
        <v>10</v>
      </c>
      <c r="E55">
        <v>1.56</v>
      </c>
      <c r="F55">
        <v>2</v>
      </c>
      <c r="G55">
        <v>9.94</v>
      </c>
      <c r="H55">
        <f>IF(Encode_tbl[[#This Row],[sex]]="Male",1,0)</f>
        <v>1</v>
      </c>
      <c r="I55">
        <f>IF(Encode_tbl[[#This Row],[smoker]]="Yes",1,0)</f>
        <v>0</v>
      </c>
      <c r="J55">
        <f>IF(Encode_tbl[[#This Row],[day]]="Fri",1,0)</f>
        <v>0</v>
      </c>
      <c r="K55">
        <f>IF(Encode_tbl[[#This Row],[day]]="Sat",1,0)</f>
        <v>0</v>
      </c>
      <c r="L55">
        <f>IF(Encode_tbl[[#This Row],[day]]="Sun",1,0)</f>
        <v>1</v>
      </c>
      <c r="M55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2.0374306745038329</v>
      </c>
      <c r="N55" s="6">
        <f>Encode_tbl[[#This Row],[tip]]-Encode_tbl[[#This Row],[predicted Tip]]</f>
        <v>-0.47743067450383281</v>
      </c>
      <c r="O55" s="6">
        <f>Encode_tbl[[#This Row],[error]]^2</f>
        <v>0.22794004895718475</v>
      </c>
      <c r="P55" s="7"/>
      <c r="Q55" s="7"/>
    </row>
    <row r="56" spans="1:17" x14ac:dyDescent="0.35">
      <c r="A56" t="s">
        <v>11</v>
      </c>
      <c r="B56" t="s">
        <v>8</v>
      </c>
      <c r="C56" t="s">
        <v>9</v>
      </c>
      <c r="D56" t="s">
        <v>10</v>
      </c>
      <c r="E56">
        <v>4.34</v>
      </c>
      <c r="F56">
        <v>4</v>
      </c>
      <c r="G56">
        <v>25.56</v>
      </c>
      <c r="H56">
        <f>IF(Encode_tbl[[#This Row],[sex]]="Male",1,0)</f>
        <v>1</v>
      </c>
      <c r="I56">
        <f>IF(Encode_tbl[[#This Row],[smoker]]="Yes",1,0)</f>
        <v>0</v>
      </c>
      <c r="J56">
        <f>IF(Encode_tbl[[#This Row],[day]]="Fri",1,0)</f>
        <v>0</v>
      </c>
      <c r="K56">
        <f>IF(Encode_tbl[[#This Row],[day]]="Sat",1,0)</f>
        <v>0</v>
      </c>
      <c r="L56">
        <f>IF(Encode_tbl[[#This Row],[day]]="Sun",1,0)</f>
        <v>1</v>
      </c>
      <c r="M56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3.8635615624775745</v>
      </c>
      <c r="N56" s="6">
        <f>Encode_tbl[[#This Row],[tip]]-Encode_tbl[[#This Row],[predicted Tip]]</f>
        <v>0.47643843752242532</v>
      </c>
      <c r="O56" s="6">
        <f>Encode_tbl[[#This Row],[error]]^2</f>
        <v>0.22699358474880998</v>
      </c>
      <c r="P56" s="7"/>
      <c r="Q56" s="7"/>
    </row>
    <row r="57" spans="1:17" x14ac:dyDescent="0.35">
      <c r="A57" t="s">
        <v>11</v>
      </c>
      <c r="B57" t="s">
        <v>8</v>
      </c>
      <c r="C57" t="s">
        <v>9</v>
      </c>
      <c r="D57" t="s">
        <v>10</v>
      </c>
      <c r="E57">
        <v>3.51</v>
      </c>
      <c r="F57">
        <v>2</v>
      </c>
      <c r="G57">
        <v>19.489999999999998</v>
      </c>
      <c r="H57">
        <f>IF(Encode_tbl[[#This Row],[sex]]="Male",1,0)</f>
        <v>1</v>
      </c>
      <c r="I57">
        <f>IF(Encode_tbl[[#This Row],[smoker]]="Yes",1,0)</f>
        <v>0</v>
      </c>
      <c r="J57">
        <f>IF(Encode_tbl[[#This Row],[day]]="Fri",1,0)</f>
        <v>0</v>
      </c>
      <c r="K57">
        <f>IF(Encode_tbl[[#This Row],[day]]="Sat",1,0)</f>
        <v>0</v>
      </c>
      <c r="L57">
        <f>IF(Encode_tbl[[#This Row],[day]]="Sun",1,0)</f>
        <v>1</v>
      </c>
      <c r="M57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2.9373681902283546</v>
      </c>
      <c r="N57" s="6">
        <f>Encode_tbl[[#This Row],[tip]]-Encode_tbl[[#This Row],[predicted Tip]]</f>
        <v>0.57263180977164518</v>
      </c>
      <c r="O57" s="6">
        <f>Encode_tbl[[#This Row],[error]]^2</f>
        <v>0.32790718956234965</v>
      </c>
      <c r="P57" s="7"/>
      <c r="Q57" s="7"/>
    </row>
    <row r="58" spans="1:17" x14ac:dyDescent="0.35">
      <c r="A58" t="s">
        <v>11</v>
      </c>
      <c r="B58" t="s">
        <v>22</v>
      </c>
      <c r="C58" t="s">
        <v>21</v>
      </c>
      <c r="D58" t="s">
        <v>10</v>
      </c>
      <c r="E58">
        <v>3</v>
      </c>
      <c r="F58">
        <v>4</v>
      </c>
      <c r="G58">
        <v>38.01</v>
      </c>
      <c r="H58">
        <f>IF(Encode_tbl[[#This Row],[sex]]="Male",1,0)</f>
        <v>1</v>
      </c>
      <c r="I58">
        <f>IF(Encode_tbl[[#This Row],[smoker]]="Yes",1,0)</f>
        <v>1</v>
      </c>
      <c r="J58">
        <f>IF(Encode_tbl[[#This Row],[day]]="Fri",1,0)</f>
        <v>0</v>
      </c>
      <c r="K58">
        <f>IF(Encode_tbl[[#This Row],[day]]="Sat",1,0)</f>
        <v>1</v>
      </c>
      <c r="L58">
        <f>IF(Encode_tbl[[#This Row],[day]]="Sun",1,0)</f>
        <v>0</v>
      </c>
      <c r="M58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4.857965640034581</v>
      </c>
      <c r="N58" s="6">
        <f>Encode_tbl[[#This Row],[tip]]-Encode_tbl[[#This Row],[predicted Tip]]</f>
        <v>-1.857965640034581</v>
      </c>
      <c r="O58" s="6">
        <f>Encode_tbl[[#This Row],[error]]^2</f>
        <v>3.4520363195491099</v>
      </c>
      <c r="P58" s="7"/>
      <c r="Q58" s="7"/>
    </row>
    <row r="59" spans="1:17" x14ac:dyDescent="0.35">
      <c r="A59" t="s">
        <v>7</v>
      </c>
      <c r="B59" t="s">
        <v>8</v>
      </c>
      <c r="C59" t="s">
        <v>21</v>
      </c>
      <c r="D59" t="s">
        <v>10</v>
      </c>
      <c r="E59">
        <v>1.5</v>
      </c>
      <c r="F59">
        <v>2</v>
      </c>
      <c r="G59">
        <v>26.41</v>
      </c>
      <c r="H59">
        <f>IF(Encode_tbl[[#This Row],[sex]]="Male",1,0)</f>
        <v>0</v>
      </c>
      <c r="I59">
        <f>IF(Encode_tbl[[#This Row],[smoker]]="Yes",1,0)</f>
        <v>0</v>
      </c>
      <c r="J59">
        <f>IF(Encode_tbl[[#This Row],[day]]="Fri",1,0)</f>
        <v>0</v>
      </c>
      <c r="K59">
        <f>IF(Encode_tbl[[#This Row],[day]]="Sat",1,0)</f>
        <v>1</v>
      </c>
      <c r="L59">
        <f>IF(Encode_tbl[[#This Row],[day]]="Sun",1,0)</f>
        <v>0</v>
      </c>
      <c r="M59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3.5266504027215184</v>
      </c>
      <c r="N59" s="6">
        <f>Encode_tbl[[#This Row],[tip]]-Encode_tbl[[#This Row],[predicted Tip]]</f>
        <v>-2.0266504027215184</v>
      </c>
      <c r="O59" s="6">
        <f>Encode_tbl[[#This Row],[error]]^2</f>
        <v>4.107311854851293</v>
      </c>
      <c r="P59" s="7"/>
      <c r="Q59" s="7"/>
    </row>
    <row r="60" spans="1:17" x14ac:dyDescent="0.35">
      <c r="A60" t="s">
        <v>11</v>
      </c>
      <c r="B60" t="s">
        <v>22</v>
      </c>
      <c r="C60" t="s">
        <v>21</v>
      </c>
      <c r="D60" t="s">
        <v>10</v>
      </c>
      <c r="E60">
        <v>1.76</v>
      </c>
      <c r="F60">
        <v>2</v>
      </c>
      <c r="G60">
        <v>11.24</v>
      </c>
      <c r="H60">
        <f>IF(Encode_tbl[[#This Row],[sex]]="Male",1,0)</f>
        <v>1</v>
      </c>
      <c r="I60">
        <f>IF(Encode_tbl[[#This Row],[smoker]]="Yes",1,0)</f>
        <v>1</v>
      </c>
      <c r="J60">
        <f>IF(Encode_tbl[[#This Row],[day]]="Fri",1,0)</f>
        <v>0</v>
      </c>
      <c r="K60">
        <f>IF(Encode_tbl[[#This Row],[day]]="Sat",1,0)</f>
        <v>1</v>
      </c>
      <c r="L60">
        <f>IF(Encode_tbl[[#This Row],[day]]="Sun",1,0)</f>
        <v>0</v>
      </c>
      <c r="M60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1.9811223645918952</v>
      </c>
      <c r="N60" s="6">
        <f>Encode_tbl[[#This Row],[tip]]-Encode_tbl[[#This Row],[predicted Tip]]</f>
        <v>-0.22112236459189516</v>
      </c>
      <c r="O60" s="6">
        <f>Encode_tbl[[#This Row],[error]]^2</f>
        <v>4.8895100122711012E-2</v>
      </c>
      <c r="P60" s="7"/>
      <c r="Q60" s="7"/>
    </row>
    <row r="61" spans="1:17" x14ac:dyDescent="0.35">
      <c r="A61" t="s">
        <v>11</v>
      </c>
      <c r="B61" t="s">
        <v>8</v>
      </c>
      <c r="C61" t="s">
        <v>21</v>
      </c>
      <c r="D61" t="s">
        <v>10</v>
      </c>
      <c r="E61">
        <v>6.73</v>
      </c>
      <c r="F61">
        <v>4</v>
      </c>
      <c r="G61">
        <v>48.27</v>
      </c>
      <c r="H61">
        <f>IF(Encode_tbl[[#This Row],[sex]]="Male",1,0)</f>
        <v>1</v>
      </c>
      <c r="I61">
        <f>IF(Encode_tbl[[#This Row],[smoker]]="Yes",1,0)</f>
        <v>0</v>
      </c>
      <c r="J61">
        <f>IF(Encode_tbl[[#This Row],[day]]="Fri",1,0)</f>
        <v>0</v>
      </c>
      <c r="K61">
        <f>IF(Encode_tbl[[#This Row],[day]]="Sat",1,0)</f>
        <v>1</v>
      </c>
      <c r="L61">
        <f>IF(Encode_tbl[[#This Row],[day]]="Sun",1,0)</f>
        <v>0</v>
      </c>
      <c r="M61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5.9065029477956683</v>
      </c>
      <c r="N61" s="6">
        <f>Encode_tbl[[#This Row],[tip]]-Encode_tbl[[#This Row],[predicted Tip]]</f>
        <v>0.82349705220433211</v>
      </c>
      <c r="O61" s="6">
        <f>Encode_tbl[[#This Row],[error]]^2</f>
        <v>0.67814739498922449</v>
      </c>
      <c r="P61" s="7"/>
      <c r="Q61" s="7"/>
    </row>
    <row r="62" spans="1:17" x14ac:dyDescent="0.35">
      <c r="A62" t="s">
        <v>11</v>
      </c>
      <c r="B62" t="s">
        <v>22</v>
      </c>
      <c r="C62" t="s">
        <v>21</v>
      </c>
      <c r="D62" t="s">
        <v>10</v>
      </c>
      <c r="E62">
        <v>3.21</v>
      </c>
      <c r="F62">
        <v>2</v>
      </c>
      <c r="G62">
        <v>20.29</v>
      </c>
      <c r="H62">
        <f>IF(Encode_tbl[[#This Row],[sex]]="Male",1,0)</f>
        <v>1</v>
      </c>
      <c r="I62">
        <f>IF(Encode_tbl[[#This Row],[smoker]]="Yes",1,0)</f>
        <v>1</v>
      </c>
      <c r="J62">
        <f>IF(Encode_tbl[[#This Row],[day]]="Fri",1,0)</f>
        <v>0</v>
      </c>
      <c r="K62">
        <f>IF(Encode_tbl[[#This Row],[day]]="Sat",1,0)</f>
        <v>1</v>
      </c>
      <c r="L62">
        <f>IF(Encode_tbl[[#This Row],[day]]="Sun",1,0)</f>
        <v>0</v>
      </c>
      <c r="M62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2.833942732896285</v>
      </c>
      <c r="N62" s="6">
        <f>Encode_tbl[[#This Row],[tip]]-Encode_tbl[[#This Row],[predicted Tip]]</f>
        <v>0.37605726710371501</v>
      </c>
      <c r="O62" s="6">
        <f>Encode_tbl[[#This Row],[error]]^2</f>
        <v>0.14141906814151486</v>
      </c>
      <c r="P62" s="7"/>
      <c r="Q62" s="7"/>
    </row>
    <row r="63" spans="1:17" x14ac:dyDescent="0.35">
      <c r="A63" t="s">
        <v>11</v>
      </c>
      <c r="B63" t="s">
        <v>22</v>
      </c>
      <c r="C63" t="s">
        <v>21</v>
      </c>
      <c r="D63" t="s">
        <v>10</v>
      </c>
      <c r="E63">
        <v>2</v>
      </c>
      <c r="F63">
        <v>2</v>
      </c>
      <c r="G63">
        <v>13.81</v>
      </c>
      <c r="H63">
        <f>IF(Encode_tbl[[#This Row],[sex]]="Male",1,0)</f>
        <v>1</v>
      </c>
      <c r="I63">
        <f>IF(Encode_tbl[[#This Row],[smoker]]="Yes",1,0)</f>
        <v>1</v>
      </c>
      <c r="J63">
        <f>IF(Encode_tbl[[#This Row],[day]]="Fri",1,0)</f>
        <v>0</v>
      </c>
      <c r="K63">
        <f>IF(Encode_tbl[[#This Row],[day]]="Sat",1,0)</f>
        <v>1</v>
      </c>
      <c r="L63">
        <f>IF(Encode_tbl[[#This Row],[day]]="Sun",1,0)</f>
        <v>0</v>
      </c>
      <c r="M63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2.2233045023313736</v>
      </c>
      <c r="N63" s="6">
        <f>Encode_tbl[[#This Row],[tip]]-Encode_tbl[[#This Row],[predicted Tip]]</f>
        <v>-0.22330450233137356</v>
      </c>
      <c r="O63" s="6">
        <f>Encode_tbl[[#This Row],[error]]^2</f>
        <v>4.9864900761462418E-2</v>
      </c>
      <c r="P63" s="7"/>
      <c r="Q63" s="7"/>
    </row>
    <row r="64" spans="1:17" x14ac:dyDescent="0.35">
      <c r="A64" t="s">
        <v>11</v>
      </c>
      <c r="B64" t="s">
        <v>22</v>
      </c>
      <c r="C64" t="s">
        <v>21</v>
      </c>
      <c r="D64" t="s">
        <v>10</v>
      </c>
      <c r="E64">
        <v>1.98</v>
      </c>
      <c r="F64">
        <v>2</v>
      </c>
      <c r="G64">
        <v>11.02</v>
      </c>
      <c r="H64">
        <f>IF(Encode_tbl[[#This Row],[sex]]="Male",1,0)</f>
        <v>1</v>
      </c>
      <c r="I64">
        <f>IF(Encode_tbl[[#This Row],[smoker]]="Yes",1,0)</f>
        <v>1</v>
      </c>
      <c r="J64">
        <f>IF(Encode_tbl[[#This Row],[day]]="Fri",1,0)</f>
        <v>0</v>
      </c>
      <c r="K64">
        <f>IF(Encode_tbl[[#This Row],[day]]="Sat",1,0)</f>
        <v>1</v>
      </c>
      <c r="L64">
        <f>IF(Encode_tbl[[#This Row],[day]]="Sun",1,0)</f>
        <v>0</v>
      </c>
      <c r="M64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1.9603908197270368</v>
      </c>
      <c r="N64" s="6">
        <f>Encode_tbl[[#This Row],[tip]]-Encode_tbl[[#This Row],[predicted Tip]]</f>
        <v>1.9609180272963211E-2</v>
      </c>
      <c r="O64" s="6">
        <f>Encode_tbl[[#This Row],[error]]^2</f>
        <v>3.8451995097756958E-4</v>
      </c>
      <c r="P64" s="7"/>
      <c r="Q64" s="7"/>
    </row>
    <row r="65" spans="1:17" x14ac:dyDescent="0.35">
      <c r="A65" t="s">
        <v>11</v>
      </c>
      <c r="B65" t="s">
        <v>22</v>
      </c>
      <c r="C65" t="s">
        <v>21</v>
      </c>
      <c r="D65" t="s">
        <v>10</v>
      </c>
      <c r="E65">
        <v>3.76</v>
      </c>
      <c r="F65">
        <v>4</v>
      </c>
      <c r="G65">
        <v>18.29</v>
      </c>
      <c r="H65">
        <f>IF(Encode_tbl[[#This Row],[sex]]="Male",1,0)</f>
        <v>1</v>
      </c>
      <c r="I65">
        <f>IF(Encode_tbl[[#This Row],[smoker]]="Yes",1,0)</f>
        <v>1</v>
      </c>
      <c r="J65">
        <f>IF(Encode_tbl[[#This Row],[day]]="Fri",1,0)</f>
        <v>0</v>
      </c>
      <c r="K65">
        <f>IF(Encode_tbl[[#This Row],[day]]="Sat",1,0)</f>
        <v>1</v>
      </c>
      <c r="L65">
        <f>IF(Encode_tbl[[#This Row],[day]]="Sun",1,0)</f>
        <v>0</v>
      </c>
      <c r="M65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2.9996653457845737</v>
      </c>
      <c r="N65" s="6">
        <f>Encode_tbl[[#This Row],[tip]]-Encode_tbl[[#This Row],[predicted Tip]]</f>
        <v>0.76033465421542612</v>
      </c>
      <c r="O65" s="6">
        <f>Encode_tbl[[#This Row],[error]]^2</f>
        <v>0.57810878640089158</v>
      </c>
      <c r="P65" s="7"/>
      <c r="Q65" s="7"/>
    </row>
    <row r="66" spans="1:17" x14ac:dyDescent="0.35">
      <c r="A66" t="s">
        <v>11</v>
      </c>
      <c r="B66" t="s">
        <v>8</v>
      </c>
      <c r="C66" t="s">
        <v>21</v>
      </c>
      <c r="D66" t="s">
        <v>10</v>
      </c>
      <c r="E66">
        <v>2.64</v>
      </c>
      <c r="F66">
        <v>3</v>
      </c>
      <c r="G66">
        <v>17.59</v>
      </c>
      <c r="H66">
        <f>IF(Encode_tbl[[#This Row],[sex]]="Male",1,0)</f>
        <v>1</v>
      </c>
      <c r="I66">
        <f>IF(Encode_tbl[[#This Row],[smoker]]="Yes",1,0)</f>
        <v>0</v>
      </c>
      <c r="J66">
        <f>IF(Encode_tbl[[#This Row],[day]]="Fri",1,0)</f>
        <v>0</v>
      </c>
      <c r="K66">
        <f>IF(Encode_tbl[[#This Row],[day]]="Sat",1,0)</f>
        <v>1</v>
      </c>
      <c r="L66">
        <f>IF(Encode_tbl[[#This Row],[day]]="Sun",1,0)</f>
        <v>0</v>
      </c>
      <c r="M66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2.8382991808119589</v>
      </c>
      <c r="N66" s="6">
        <f>Encode_tbl[[#This Row],[tip]]-Encode_tbl[[#This Row],[predicted Tip]]</f>
        <v>-0.19829918081195874</v>
      </c>
      <c r="O66" s="6">
        <f>Encode_tbl[[#This Row],[error]]^2</f>
        <v>3.9322565110693909E-2</v>
      </c>
      <c r="P66" s="7"/>
      <c r="Q66" s="7"/>
    </row>
    <row r="67" spans="1:17" x14ac:dyDescent="0.35">
      <c r="A67" t="s">
        <v>11</v>
      </c>
      <c r="B67" t="s">
        <v>8</v>
      </c>
      <c r="C67" t="s">
        <v>21</v>
      </c>
      <c r="D67" t="s">
        <v>10</v>
      </c>
      <c r="E67">
        <v>3.15</v>
      </c>
      <c r="F67">
        <v>3</v>
      </c>
      <c r="G67">
        <v>20.079999999999998</v>
      </c>
      <c r="H67">
        <f>IF(Encode_tbl[[#This Row],[sex]]="Male",1,0)</f>
        <v>1</v>
      </c>
      <c r="I67">
        <f>IF(Encode_tbl[[#This Row],[smoker]]="Yes",1,0)</f>
        <v>0</v>
      </c>
      <c r="J67">
        <f>IF(Encode_tbl[[#This Row],[day]]="Fri",1,0)</f>
        <v>0</v>
      </c>
      <c r="K67">
        <f>IF(Encode_tbl[[#This Row],[day]]="Sat",1,0)</f>
        <v>1</v>
      </c>
      <c r="L67">
        <f>IF(Encode_tbl[[#This Row],[day]]="Sun",1,0)</f>
        <v>0</v>
      </c>
      <c r="M67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3.0729425749642161</v>
      </c>
      <c r="N67" s="6">
        <f>Encode_tbl[[#This Row],[tip]]-Encode_tbl[[#This Row],[predicted Tip]]</f>
        <v>7.7057425035783833E-2</v>
      </c>
      <c r="O67" s="6">
        <f>Encode_tbl[[#This Row],[error]]^2</f>
        <v>5.9378467531454454E-3</v>
      </c>
      <c r="P67" s="7"/>
      <c r="Q67" s="7"/>
    </row>
    <row r="68" spans="1:17" x14ac:dyDescent="0.35">
      <c r="A68" t="s">
        <v>7</v>
      </c>
      <c r="B68" t="s">
        <v>8</v>
      </c>
      <c r="C68" t="s">
        <v>21</v>
      </c>
      <c r="D68" t="s">
        <v>10</v>
      </c>
      <c r="E68">
        <v>2.4700000000000002</v>
      </c>
      <c r="F68">
        <v>2</v>
      </c>
      <c r="G68">
        <v>16.45</v>
      </c>
      <c r="H68">
        <f>IF(Encode_tbl[[#This Row],[sex]]="Male",1,0)</f>
        <v>0</v>
      </c>
      <c r="I68">
        <f>IF(Encode_tbl[[#This Row],[smoker]]="Yes",1,0)</f>
        <v>0</v>
      </c>
      <c r="J68">
        <f>IF(Encode_tbl[[#This Row],[day]]="Fri",1,0)</f>
        <v>0</v>
      </c>
      <c r="K68">
        <f>IF(Encode_tbl[[#This Row],[day]]="Sat",1,0)</f>
        <v>1</v>
      </c>
      <c r="L68">
        <f>IF(Encode_tbl[[#This Row],[day]]="Sun",1,0)</f>
        <v>0</v>
      </c>
      <c r="M68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2.5880768261124882</v>
      </c>
      <c r="N68" s="6">
        <f>Encode_tbl[[#This Row],[tip]]-Encode_tbl[[#This Row],[predicted Tip]]</f>
        <v>-0.11807682611248804</v>
      </c>
      <c r="O68" s="6">
        <f>Encode_tbl[[#This Row],[error]]^2</f>
        <v>1.3942136864798739E-2</v>
      </c>
      <c r="P68" s="7"/>
      <c r="Q68" s="7"/>
    </row>
    <row r="69" spans="1:17" x14ac:dyDescent="0.35">
      <c r="A69" t="s">
        <v>7</v>
      </c>
      <c r="B69" t="s">
        <v>22</v>
      </c>
      <c r="C69" t="s">
        <v>21</v>
      </c>
      <c r="D69" t="s">
        <v>10</v>
      </c>
      <c r="E69">
        <v>1</v>
      </c>
      <c r="F69">
        <v>1</v>
      </c>
      <c r="G69">
        <v>3.07</v>
      </c>
      <c r="H69">
        <f>IF(Encode_tbl[[#This Row],[sex]]="Male",1,0)</f>
        <v>0</v>
      </c>
      <c r="I69">
        <f>IF(Encode_tbl[[#This Row],[smoker]]="Yes",1,0)</f>
        <v>1</v>
      </c>
      <c r="J69">
        <f>IF(Encode_tbl[[#This Row],[day]]="Fri",1,0)</f>
        <v>0</v>
      </c>
      <c r="K69">
        <f>IF(Encode_tbl[[#This Row],[day]]="Sat",1,0)</f>
        <v>1</v>
      </c>
      <c r="L69">
        <f>IF(Encode_tbl[[#This Row],[day]]="Sun",1,0)</f>
        <v>0</v>
      </c>
      <c r="M69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1.0684329171653677</v>
      </c>
      <c r="N69" s="6">
        <f>Encode_tbl[[#This Row],[tip]]-Encode_tbl[[#This Row],[predicted Tip]]</f>
        <v>-6.8432917165367702E-2</v>
      </c>
      <c r="O69" s="6">
        <f>Encode_tbl[[#This Row],[error]]^2</f>
        <v>4.6830641517620775E-3</v>
      </c>
      <c r="P69" s="7"/>
      <c r="Q69" s="7"/>
    </row>
    <row r="70" spans="1:17" x14ac:dyDescent="0.35">
      <c r="A70" t="s">
        <v>11</v>
      </c>
      <c r="B70" t="s">
        <v>8</v>
      </c>
      <c r="C70" t="s">
        <v>21</v>
      </c>
      <c r="D70" t="s">
        <v>10</v>
      </c>
      <c r="E70">
        <v>2.0099999999999998</v>
      </c>
      <c r="F70">
        <v>2</v>
      </c>
      <c r="G70">
        <v>20.23</v>
      </c>
      <c r="H70">
        <f>IF(Encode_tbl[[#This Row],[sex]]="Male",1,0)</f>
        <v>1</v>
      </c>
      <c r="I70">
        <f>IF(Encode_tbl[[#This Row],[smoker]]="Yes",1,0)</f>
        <v>0</v>
      </c>
      <c r="J70">
        <f>IF(Encode_tbl[[#This Row],[day]]="Fri",1,0)</f>
        <v>0</v>
      </c>
      <c r="K70">
        <f>IF(Encode_tbl[[#This Row],[day]]="Sat",1,0)</f>
        <v>1</v>
      </c>
      <c r="L70">
        <f>IF(Encode_tbl[[#This Row],[day]]="Sun",1,0)</f>
        <v>0</v>
      </c>
      <c r="M70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2.9099821179058476</v>
      </c>
      <c r="N70" s="6">
        <f>Encode_tbl[[#This Row],[tip]]-Encode_tbl[[#This Row],[predicted Tip]]</f>
        <v>-0.89998211790584781</v>
      </c>
      <c r="O70" s="6">
        <f>Encode_tbl[[#This Row],[error]]^2</f>
        <v>0.80996781255029537</v>
      </c>
      <c r="P70" s="7"/>
      <c r="Q70" s="7"/>
    </row>
    <row r="71" spans="1:17" x14ac:dyDescent="0.35">
      <c r="A71" t="s">
        <v>11</v>
      </c>
      <c r="B71" t="s">
        <v>22</v>
      </c>
      <c r="C71" t="s">
        <v>21</v>
      </c>
      <c r="D71" t="s">
        <v>10</v>
      </c>
      <c r="E71">
        <v>2.09</v>
      </c>
      <c r="F71">
        <v>2</v>
      </c>
      <c r="G71">
        <v>15.01</v>
      </c>
      <c r="H71">
        <f>IF(Encode_tbl[[#This Row],[sex]]="Male",1,0)</f>
        <v>1</v>
      </c>
      <c r="I71">
        <f>IF(Encode_tbl[[#This Row],[smoker]]="Yes",1,0)</f>
        <v>1</v>
      </c>
      <c r="J71">
        <f>IF(Encode_tbl[[#This Row],[day]]="Fri",1,0)</f>
        <v>0</v>
      </c>
      <c r="K71">
        <f>IF(Encode_tbl[[#This Row],[day]]="Sat",1,0)</f>
        <v>1</v>
      </c>
      <c r="L71">
        <f>IF(Encode_tbl[[#This Row],[day]]="Sun",1,0)</f>
        <v>0</v>
      </c>
      <c r="M71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2.336385656139691</v>
      </c>
      <c r="N71" s="6">
        <f>Encode_tbl[[#This Row],[tip]]-Encode_tbl[[#This Row],[predicted Tip]]</f>
        <v>-0.2463856561396911</v>
      </c>
      <c r="O71" s="6">
        <f>Encode_tbl[[#This Row],[error]]^2</f>
        <v>6.0705891551386101E-2</v>
      </c>
      <c r="P71" s="7"/>
      <c r="Q71" s="7"/>
    </row>
    <row r="72" spans="1:17" x14ac:dyDescent="0.35">
      <c r="A72" t="s">
        <v>11</v>
      </c>
      <c r="B72" t="s">
        <v>8</v>
      </c>
      <c r="C72" t="s">
        <v>21</v>
      </c>
      <c r="D72" t="s">
        <v>10</v>
      </c>
      <c r="E72">
        <v>1.97</v>
      </c>
      <c r="F72">
        <v>2</v>
      </c>
      <c r="G72">
        <v>12.02</v>
      </c>
      <c r="H72">
        <f>IF(Encode_tbl[[#This Row],[sex]]="Male",1,0)</f>
        <v>1</v>
      </c>
      <c r="I72">
        <f>IF(Encode_tbl[[#This Row],[smoker]]="Yes",1,0)</f>
        <v>0</v>
      </c>
      <c r="J72">
        <f>IF(Encode_tbl[[#This Row],[day]]="Fri",1,0)</f>
        <v>0</v>
      </c>
      <c r="K72">
        <f>IF(Encode_tbl[[#This Row],[day]]="Sat",1,0)</f>
        <v>1</v>
      </c>
      <c r="L72">
        <f>IF(Encode_tbl[[#This Row],[day]]="Sun",1,0)</f>
        <v>0</v>
      </c>
      <c r="M72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2.1363185572672796</v>
      </c>
      <c r="N72" s="6">
        <f>Encode_tbl[[#This Row],[tip]]-Encode_tbl[[#This Row],[predicted Tip]]</f>
        <v>-0.16631855726727962</v>
      </c>
      <c r="O72" s="6">
        <f>Encode_tbl[[#This Row],[error]]^2</f>
        <v>2.7661862491469371E-2</v>
      </c>
      <c r="P72" s="7"/>
      <c r="Q72" s="7"/>
    </row>
    <row r="73" spans="1:17" x14ac:dyDescent="0.35">
      <c r="A73" t="s">
        <v>7</v>
      </c>
      <c r="B73" t="s">
        <v>8</v>
      </c>
      <c r="C73" t="s">
        <v>21</v>
      </c>
      <c r="D73" t="s">
        <v>10</v>
      </c>
      <c r="E73">
        <v>3</v>
      </c>
      <c r="F73">
        <v>3</v>
      </c>
      <c r="G73">
        <v>17.07</v>
      </c>
      <c r="H73">
        <f>IF(Encode_tbl[[#This Row],[sex]]="Male",1,0)</f>
        <v>0</v>
      </c>
      <c r="I73">
        <f>IF(Encode_tbl[[#This Row],[smoker]]="Yes",1,0)</f>
        <v>0</v>
      </c>
      <c r="J73">
        <f>IF(Encode_tbl[[#This Row],[day]]="Fri",1,0)</f>
        <v>0</v>
      </c>
      <c r="K73">
        <f>IF(Encode_tbl[[#This Row],[day]]="Sat",1,0)</f>
        <v>1</v>
      </c>
      <c r="L73">
        <f>IF(Encode_tbl[[#This Row],[day]]="Sun",1,0)</f>
        <v>0</v>
      </c>
      <c r="M73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2.8235976901978606</v>
      </c>
      <c r="N73" s="6">
        <f>Encode_tbl[[#This Row],[tip]]-Encode_tbl[[#This Row],[predicted Tip]]</f>
        <v>0.17640230980213945</v>
      </c>
      <c r="O73" s="6">
        <f>Encode_tbl[[#This Row],[error]]^2</f>
        <v>3.1117774903529981E-2</v>
      </c>
      <c r="P73" s="7"/>
      <c r="Q73" s="7"/>
    </row>
    <row r="74" spans="1:17" x14ac:dyDescent="0.35">
      <c r="A74" t="s">
        <v>7</v>
      </c>
      <c r="B74" t="s">
        <v>22</v>
      </c>
      <c r="C74" t="s">
        <v>21</v>
      </c>
      <c r="D74" t="s">
        <v>10</v>
      </c>
      <c r="E74">
        <v>3.14</v>
      </c>
      <c r="F74">
        <v>2</v>
      </c>
      <c r="G74">
        <v>26.86</v>
      </c>
      <c r="H74">
        <f>IF(Encode_tbl[[#This Row],[sex]]="Male",1,0)</f>
        <v>0</v>
      </c>
      <c r="I74">
        <f>IF(Encode_tbl[[#This Row],[smoker]]="Yes",1,0)</f>
        <v>1</v>
      </c>
      <c r="J74">
        <f>IF(Encode_tbl[[#This Row],[day]]="Fri",1,0)</f>
        <v>0</v>
      </c>
      <c r="K74">
        <f>IF(Encode_tbl[[#This Row],[day]]="Sat",1,0)</f>
        <v>1</v>
      </c>
      <c r="L74">
        <f>IF(Encode_tbl[[#This Row],[day]]="Sun",1,0)</f>
        <v>0</v>
      </c>
      <c r="M74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3.4873623926996591</v>
      </c>
      <c r="N74" s="6">
        <f>Encode_tbl[[#This Row],[tip]]-Encode_tbl[[#This Row],[predicted Tip]]</f>
        <v>-0.34736239269965896</v>
      </c>
      <c r="O74" s="6">
        <f>Encode_tbl[[#This Row],[error]]^2</f>
        <v>0.12066063186203209</v>
      </c>
      <c r="P74" s="7"/>
      <c r="Q74" s="7"/>
    </row>
    <row r="75" spans="1:17" x14ac:dyDescent="0.35">
      <c r="A75" t="s">
        <v>7</v>
      </c>
      <c r="B75" t="s">
        <v>22</v>
      </c>
      <c r="C75" t="s">
        <v>21</v>
      </c>
      <c r="D75" t="s">
        <v>10</v>
      </c>
      <c r="E75">
        <v>5</v>
      </c>
      <c r="F75">
        <v>2</v>
      </c>
      <c r="G75">
        <v>25.28</v>
      </c>
      <c r="H75">
        <f>IF(Encode_tbl[[#This Row],[sex]]="Male",1,0)</f>
        <v>0</v>
      </c>
      <c r="I75">
        <f>IF(Encode_tbl[[#This Row],[smoker]]="Yes",1,0)</f>
        <v>1</v>
      </c>
      <c r="J75">
        <f>IF(Encode_tbl[[#This Row],[day]]="Fri",1,0)</f>
        <v>0</v>
      </c>
      <c r="K75">
        <f>IF(Encode_tbl[[#This Row],[day]]="Sat",1,0)</f>
        <v>1</v>
      </c>
      <c r="L75">
        <f>IF(Encode_tbl[[#This Row],[day]]="Sun",1,0)</f>
        <v>0</v>
      </c>
      <c r="M75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3.3384722068520416</v>
      </c>
      <c r="N75" s="6">
        <f>Encode_tbl[[#This Row],[tip]]-Encode_tbl[[#This Row],[predicted Tip]]</f>
        <v>1.6615277931479584</v>
      </c>
      <c r="O75" s="6">
        <f>Encode_tbl[[#This Row],[error]]^2</f>
        <v>2.760674607403125</v>
      </c>
      <c r="P75" s="7"/>
      <c r="Q75" s="7"/>
    </row>
    <row r="76" spans="1:17" x14ac:dyDescent="0.35">
      <c r="A76" t="s">
        <v>7</v>
      </c>
      <c r="B76" t="s">
        <v>8</v>
      </c>
      <c r="C76" t="s">
        <v>21</v>
      </c>
      <c r="D76" t="s">
        <v>10</v>
      </c>
      <c r="E76">
        <v>2.2000000000000002</v>
      </c>
      <c r="F76">
        <v>2</v>
      </c>
      <c r="G76">
        <v>14.73</v>
      </c>
      <c r="H76">
        <f>IF(Encode_tbl[[#This Row],[sex]]="Male",1,0)</f>
        <v>0</v>
      </c>
      <c r="I76">
        <f>IF(Encode_tbl[[#This Row],[smoker]]="Yes",1,0)</f>
        <v>0</v>
      </c>
      <c r="J76">
        <f>IF(Encode_tbl[[#This Row],[day]]="Fri",1,0)</f>
        <v>0</v>
      </c>
      <c r="K76">
        <f>IF(Encode_tbl[[#This Row],[day]]="Sat",1,0)</f>
        <v>1</v>
      </c>
      <c r="L76">
        <f>IF(Encode_tbl[[#This Row],[day]]="Sun",1,0)</f>
        <v>0</v>
      </c>
      <c r="M76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2.425993838987234</v>
      </c>
      <c r="N76" s="6">
        <f>Encode_tbl[[#This Row],[tip]]-Encode_tbl[[#This Row],[predicted Tip]]</f>
        <v>-0.2259938389872338</v>
      </c>
      <c r="O76" s="6">
        <f>Encode_tbl[[#This Row],[error]]^2</f>
        <v>5.1073215260187751E-2</v>
      </c>
      <c r="P76" s="7"/>
      <c r="Q76" s="7"/>
    </row>
    <row r="77" spans="1:17" x14ac:dyDescent="0.35">
      <c r="A77" t="s">
        <v>11</v>
      </c>
      <c r="B77" t="s">
        <v>8</v>
      </c>
      <c r="C77" t="s">
        <v>21</v>
      </c>
      <c r="D77" t="s">
        <v>10</v>
      </c>
      <c r="E77">
        <v>1.25</v>
      </c>
      <c r="F77">
        <v>2</v>
      </c>
      <c r="G77">
        <v>10.51</v>
      </c>
      <c r="H77">
        <f>IF(Encode_tbl[[#This Row],[sex]]="Male",1,0)</f>
        <v>1</v>
      </c>
      <c r="I77">
        <f>IF(Encode_tbl[[#This Row],[smoker]]="Yes",1,0)</f>
        <v>0</v>
      </c>
      <c r="J77">
        <f>IF(Encode_tbl[[#This Row],[day]]="Fri",1,0)</f>
        <v>0</v>
      </c>
      <c r="K77">
        <f>IF(Encode_tbl[[#This Row],[day]]="Sat",1,0)</f>
        <v>1</v>
      </c>
      <c r="L77">
        <f>IF(Encode_tbl[[#This Row],[day]]="Sun",1,0)</f>
        <v>0</v>
      </c>
      <c r="M77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1.9940247720584805</v>
      </c>
      <c r="N77" s="6">
        <f>Encode_tbl[[#This Row],[tip]]-Encode_tbl[[#This Row],[predicted Tip]]</f>
        <v>-0.7440247720584805</v>
      </c>
      <c r="O77" s="6">
        <f>Encode_tbl[[#This Row],[error]]^2</f>
        <v>0.55357286143667384</v>
      </c>
      <c r="P77" s="7"/>
      <c r="Q77" s="7"/>
    </row>
    <row r="78" spans="1:17" x14ac:dyDescent="0.35">
      <c r="A78" t="s">
        <v>11</v>
      </c>
      <c r="B78" t="s">
        <v>22</v>
      </c>
      <c r="C78" t="s">
        <v>21</v>
      </c>
      <c r="D78" t="s">
        <v>10</v>
      </c>
      <c r="E78">
        <v>3.08</v>
      </c>
      <c r="F78">
        <v>2</v>
      </c>
      <c r="G78">
        <v>17.920000000000002</v>
      </c>
      <c r="H78">
        <f>IF(Encode_tbl[[#This Row],[sex]]="Male",1,0)</f>
        <v>1</v>
      </c>
      <c r="I78">
        <f>IF(Encode_tbl[[#This Row],[smoker]]="Yes",1,0)</f>
        <v>1</v>
      </c>
      <c r="J78">
        <f>IF(Encode_tbl[[#This Row],[day]]="Fri",1,0)</f>
        <v>0</v>
      </c>
      <c r="K78">
        <f>IF(Encode_tbl[[#This Row],[day]]="Sat",1,0)</f>
        <v>1</v>
      </c>
      <c r="L78">
        <f>IF(Encode_tbl[[#This Row],[day]]="Sun",1,0)</f>
        <v>0</v>
      </c>
      <c r="M78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2.6106074541248594</v>
      </c>
      <c r="N78" s="6">
        <f>Encode_tbl[[#This Row],[tip]]-Encode_tbl[[#This Row],[predicted Tip]]</f>
        <v>0.46939254587514068</v>
      </c>
      <c r="O78" s="6">
        <f>Encode_tbl[[#This Row],[error]]^2</f>
        <v>0.22032936212314605</v>
      </c>
      <c r="P78" s="7"/>
      <c r="Q78" s="7"/>
    </row>
    <row r="79" spans="1:17" x14ac:dyDescent="0.35">
      <c r="A79" t="s">
        <v>11</v>
      </c>
      <c r="B79" t="s">
        <v>8</v>
      </c>
      <c r="C79" t="s">
        <v>23</v>
      </c>
      <c r="D79" t="s">
        <v>24</v>
      </c>
      <c r="E79">
        <v>4</v>
      </c>
      <c r="F79">
        <v>4</v>
      </c>
      <c r="G79">
        <v>27.2</v>
      </c>
      <c r="H79">
        <f>IF(Encode_tbl[[#This Row],[sex]]="Male",1,0)</f>
        <v>1</v>
      </c>
      <c r="I79">
        <f>IF(Encode_tbl[[#This Row],[smoker]]="Yes",1,0)</f>
        <v>0</v>
      </c>
      <c r="J79">
        <f>IF(Encode_tbl[[#This Row],[day]]="Fri",1,0)</f>
        <v>0</v>
      </c>
      <c r="K79">
        <f>IF(Encode_tbl[[#This Row],[day]]="Sat",1,0)</f>
        <v>0</v>
      </c>
      <c r="L79">
        <f>IF(Encode_tbl[[#This Row],[day]]="Sun",1,0)</f>
        <v>0</v>
      </c>
      <c r="M79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3.9506143336034243</v>
      </c>
      <c r="N79" s="6">
        <f>Encode_tbl[[#This Row],[tip]]-Encode_tbl[[#This Row],[predicted Tip]]</f>
        <v>4.9385666396575711E-2</v>
      </c>
      <c r="O79" s="6">
        <f>Encode_tbl[[#This Row],[error]]^2</f>
        <v>2.4389440454338674E-3</v>
      </c>
      <c r="P79" s="7"/>
      <c r="Q79" s="7"/>
    </row>
    <row r="80" spans="1:17" x14ac:dyDescent="0.35">
      <c r="A80" t="s">
        <v>11</v>
      </c>
      <c r="B80" t="s">
        <v>8</v>
      </c>
      <c r="C80" t="s">
        <v>23</v>
      </c>
      <c r="D80" t="s">
        <v>24</v>
      </c>
      <c r="E80">
        <v>3</v>
      </c>
      <c r="F80">
        <v>2</v>
      </c>
      <c r="G80">
        <v>22.76</v>
      </c>
      <c r="H80">
        <f>IF(Encode_tbl[[#This Row],[sex]]="Male",1,0)</f>
        <v>1</v>
      </c>
      <c r="I80">
        <f>IF(Encode_tbl[[#This Row],[smoker]]="Yes",1,0)</f>
        <v>0</v>
      </c>
      <c r="J80">
        <f>IF(Encode_tbl[[#This Row],[day]]="Fri",1,0)</f>
        <v>0</v>
      </c>
      <c r="K80">
        <f>IF(Encode_tbl[[#This Row],[day]]="Sat",1,0)</f>
        <v>0</v>
      </c>
      <c r="L80">
        <f>IF(Encode_tbl[[#This Row],[day]]="Sun",1,0)</f>
        <v>0</v>
      </c>
      <c r="M80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3.1780228619438353</v>
      </c>
      <c r="N80" s="6">
        <f>Encode_tbl[[#This Row],[tip]]-Encode_tbl[[#This Row],[predicted Tip]]</f>
        <v>-0.17802286194383532</v>
      </c>
      <c r="O80" s="6">
        <f>Encode_tbl[[#This Row],[error]]^2</f>
        <v>3.1692139374673849E-2</v>
      </c>
      <c r="P80" s="7"/>
      <c r="Q80" s="7"/>
    </row>
    <row r="81" spans="1:17" x14ac:dyDescent="0.35">
      <c r="A81" t="s">
        <v>11</v>
      </c>
      <c r="B81" t="s">
        <v>8</v>
      </c>
      <c r="C81" t="s">
        <v>23</v>
      </c>
      <c r="D81" t="s">
        <v>24</v>
      </c>
      <c r="E81">
        <v>2.71</v>
      </c>
      <c r="F81">
        <v>2</v>
      </c>
      <c r="G81">
        <v>17.29</v>
      </c>
      <c r="H81">
        <f>IF(Encode_tbl[[#This Row],[sex]]="Male",1,0)</f>
        <v>1</v>
      </c>
      <c r="I81">
        <f>IF(Encode_tbl[[#This Row],[smoker]]="Yes",1,0)</f>
        <v>0</v>
      </c>
      <c r="J81">
        <f>IF(Encode_tbl[[#This Row],[day]]="Fri",1,0)</f>
        <v>0</v>
      </c>
      <c r="K81">
        <f>IF(Encode_tbl[[#This Row],[day]]="Sat",1,0)</f>
        <v>0</v>
      </c>
      <c r="L81">
        <f>IF(Encode_tbl[[#This Row],[day]]="Sun",1,0)</f>
        <v>0</v>
      </c>
      <c r="M81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2.6625612691675902</v>
      </c>
      <c r="N81" s="6">
        <f>Encode_tbl[[#This Row],[tip]]-Encode_tbl[[#This Row],[predicted Tip]]</f>
        <v>4.7438730832409792E-2</v>
      </c>
      <c r="O81" s="6">
        <f>Encode_tbl[[#This Row],[error]]^2</f>
        <v>2.2504331829898273E-3</v>
      </c>
      <c r="P81" s="7"/>
      <c r="Q81" s="7"/>
    </row>
    <row r="82" spans="1:17" x14ac:dyDescent="0.35">
      <c r="A82" t="s">
        <v>11</v>
      </c>
      <c r="B82" t="s">
        <v>22</v>
      </c>
      <c r="C82" t="s">
        <v>23</v>
      </c>
      <c r="D82" t="s">
        <v>24</v>
      </c>
      <c r="E82">
        <v>3</v>
      </c>
      <c r="F82">
        <v>2</v>
      </c>
      <c r="G82">
        <v>19.440000000000001</v>
      </c>
      <c r="H82">
        <f>IF(Encode_tbl[[#This Row],[sex]]="Male",1,0)</f>
        <v>1</v>
      </c>
      <c r="I82">
        <f>IF(Encode_tbl[[#This Row],[smoker]]="Yes",1,0)</f>
        <v>1</v>
      </c>
      <c r="J82">
        <f>IF(Encode_tbl[[#This Row],[day]]="Fri",1,0)</f>
        <v>0</v>
      </c>
      <c r="K82">
        <f>IF(Encode_tbl[[#This Row],[day]]="Sat",1,0)</f>
        <v>0</v>
      </c>
      <c r="L82">
        <f>IF(Encode_tbl[[#This Row],[day]]="Sun",1,0)</f>
        <v>0</v>
      </c>
      <c r="M82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2.78347156037418</v>
      </c>
      <c r="N82" s="6">
        <f>Encode_tbl[[#This Row],[tip]]-Encode_tbl[[#This Row],[predicted Tip]]</f>
        <v>0.21652843962582002</v>
      </c>
      <c r="O82" s="6">
        <f>Encode_tbl[[#This Row],[error]]^2</f>
        <v>4.6884565166792389E-2</v>
      </c>
      <c r="P82" s="7"/>
      <c r="Q82" s="7"/>
    </row>
    <row r="83" spans="1:17" x14ac:dyDescent="0.35">
      <c r="A83" t="s">
        <v>11</v>
      </c>
      <c r="B83" t="s">
        <v>8</v>
      </c>
      <c r="C83" t="s">
        <v>23</v>
      </c>
      <c r="D83" t="s">
        <v>24</v>
      </c>
      <c r="E83">
        <v>3.4</v>
      </c>
      <c r="F83">
        <v>2</v>
      </c>
      <c r="G83">
        <v>16.66</v>
      </c>
      <c r="H83">
        <f>IF(Encode_tbl[[#This Row],[sex]]="Male",1,0)</f>
        <v>1</v>
      </c>
      <c r="I83">
        <f>IF(Encode_tbl[[#This Row],[smoker]]="Yes",1,0)</f>
        <v>0</v>
      </c>
      <c r="J83">
        <f>IF(Encode_tbl[[#This Row],[day]]="Fri",1,0)</f>
        <v>0</v>
      </c>
      <c r="K83">
        <f>IF(Encode_tbl[[#This Row],[day]]="Sat",1,0)</f>
        <v>0</v>
      </c>
      <c r="L83">
        <f>IF(Encode_tbl[[#This Row],[day]]="Sun",1,0)</f>
        <v>0</v>
      </c>
      <c r="M83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2.603193663418224</v>
      </c>
      <c r="N83" s="6">
        <f>Encode_tbl[[#This Row],[tip]]-Encode_tbl[[#This Row],[predicted Tip]]</f>
        <v>0.79680633658177591</v>
      </c>
      <c r="O83" s="6">
        <f>Encode_tbl[[#This Row],[error]]^2</f>
        <v>0.6349003380168704</v>
      </c>
      <c r="P83" s="7"/>
      <c r="Q83" s="7"/>
    </row>
    <row r="84" spans="1:17" x14ac:dyDescent="0.35">
      <c r="A84" t="s">
        <v>7</v>
      </c>
      <c r="B84" t="s">
        <v>8</v>
      </c>
      <c r="C84" t="s">
        <v>23</v>
      </c>
      <c r="D84" t="s">
        <v>24</v>
      </c>
      <c r="E84">
        <v>1.83</v>
      </c>
      <c r="F84">
        <v>1</v>
      </c>
      <c r="G84">
        <v>10.07</v>
      </c>
      <c r="H84">
        <f>IF(Encode_tbl[[#This Row],[sex]]="Male",1,0)</f>
        <v>0</v>
      </c>
      <c r="I84">
        <f>IF(Encode_tbl[[#This Row],[smoker]]="Yes",1,0)</f>
        <v>0</v>
      </c>
      <c r="J84">
        <f>IF(Encode_tbl[[#This Row],[day]]="Fri",1,0)</f>
        <v>0</v>
      </c>
      <c r="K84">
        <f>IF(Encode_tbl[[#This Row],[day]]="Sat",1,0)</f>
        <v>0</v>
      </c>
      <c r="L84">
        <f>IF(Encode_tbl[[#This Row],[day]]="Sun",1,0)</f>
        <v>0</v>
      </c>
      <c r="M84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1.8393944018393142</v>
      </c>
      <c r="N84" s="6">
        <f>Encode_tbl[[#This Row],[tip]]-Encode_tbl[[#This Row],[predicted Tip]]</f>
        <v>-9.3944018393141704E-3</v>
      </c>
      <c r="O84" s="6">
        <f>Encode_tbl[[#This Row],[error]]^2</f>
        <v>8.825478591850947E-5</v>
      </c>
      <c r="P84" s="7"/>
      <c r="Q84" s="7"/>
    </row>
    <row r="85" spans="1:17" x14ac:dyDescent="0.35">
      <c r="A85" t="s">
        <v>11</v>
      </c>
      <c r="B85" t="s">
        <v>22</v>
      </c>
      <c r="C85" t="s">
        <v>23</v>
      </c>
      <c r="D85" t="s">
        <v>24</v>
      </c>
      <c r="E85">
        <v>5</v>
      </c>
      <c r="F85">
        <v>2</v>
      </c>
      <c r="G85">
        <v>32.68</v>
      </c>
      <c r="H85">
        <f>IF(Encode_tbl[[#This Row],[sex]]="Male",1,0)</f>
        <v>1</v>
      </c>
      <c r="I85">
        <f>IF(Encode_tbl[[#This Row],[smoker]]="Yes",1,0)</f>
        <v>1</v>
      </c>
      <c r="J85">
        <f>IF(Encode_tbl[[#This Row],[day]]="Fri",1,0)</f>
        <v>0</v>
      </c>
      <c r="K85">
        <f>IF(Encode_tbl[[#This Row],[day]]="Sat",1,0)</f>
        <v>0</v>
      </c>
      <c r="L85">
        <f>IF(Encode_tbl[[#This Row],[day]]="Sun",1,0)</f>
        <v>0</v>
      </c>
      <c r="M85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4.0311336240592759</v>
      </c>
      <c r="N85" s="6">
        <f>Encode_tbl[[#This Row],[tip]]-Encode_tbl[[#This Row],[predicted Tip]]</f>
        <v>0.96886637594072411</v>
      </c>
      <c r="O85" s="6">
        <f>Encode_tbl[[#This Row],[error]]^2</f>
        <v>0.93870205442851251</v>
      </c>
      <c r="P85" s="7"/>
      <c r="Q85" s="7"/>
    </row>
    <row r="86" spans="1:17" x14ac:dyDescent="0.35">
      <c r="A86" t="s">
        <v>11</v>
      </c>
      <c r="B86" t="s">
        <v>8</v>
      </c>
      <c r="C86" t="s">
        <v>23</v>
      </c>
      <c r="D86" t="s">
        <v>24</v>
      </c>
      <c r="E86">
        <v>2.0299999999999998</v>
      </c>
      <c r="F86">
        <v>2</v>
      </c>
      <c r="G86">
        <v>15.98</v>
      </c>
      <c r="H86">
        <f>IF(Encode_tbl[[#This Row],[sex]]="Male",1,0)</f>
        <v>1</v>
      </c>
      <c r="I86">
        <f>IF(Encode_tbl[[#This Row],[smoker]]="Yes",1,0)</f>
        <v>0</v>
      </c>
      <c r="J86">
        <f>IF(Encode_tbl[[#This Row],[day]]="Fri",1,0)</f>
        <v>0</v>
      </c>
      <c r="K86">
        <f>IF(Encode_tbl[[#This Row],[day]]="Sat",1,0)</f>
        <v>0</v>
      </c>
      <c r="L86">
        <f>IF(Encode_tbl[[#This Row],[day]]="Sun",1,0)</f>
        <v>0</v>
      </c>
      <c r="M86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2.5391143429268443</v>
      </c>
      <c r="N86" s="6">
        <f>Encode_tbl[[#This Row],[tip]]-Encode_tbl[[#This Row],[predicted Tip]]</f>
        <v>-0.50911434292684454</v>
      </c>
      <c r="O86" s="6">
        <f>Encode_tbl[[#This Row],[error]]^2</f>
        <v>0.25919741417383269</v>
      </c>
      <c r="P86" s="7"/>
      <c r="Q86" s="7"/>
    </row>
    <row r="87" spans="1:17" x14ac:dyDescent="0.35">
      <c r="A87" t="s">
        <v>7</v>
      </c>
      <c r="B87" t="s">
        <v>8</v>
      </c>
      <c r="C87" t="s">
        <v>23</v>
      </c>
      <c r="D87" t="s">
        <v>24</v>
      </c>
      <c r="E87">
        <v>5.17</v>
      </c>
      <c r="F87">
        <v>4</v>
      </c>
      <c r="G87">
        <v>34.83</v>
      </c>
      <c r="H87">
        <f>IF(Encode_tbl[[#This Row],[sex]]="Male",1,0)</f>
        <v>0</v>
      </c>
      <c r="I87">
        <f>IF(Encode_tbl[[#This Row],[smoker]]="Yes",1,0)</f>
        <v>0</v>
      </c>
      <c r="J87">
        <f>IF(Encode_tbl[[#This Row],[day]]="Fri",1,0)</f>
        <v>0</v>
      </c>
      <c r="K87">
        <f>IF(Encode_tbl[[#This Row],[day]]="Sat",1,0)</f>
        <v>0</v>
      </c>
      <c r="L87">
        <f>IF(Encode_tbl[[#This Row],[day]]="Sun",1,0)</f>
        <v>0</v>
      </c>
      <c r="M87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4.7039223459374782</v>
      </c>
      <c r="N87" s="6">
        <f>Encode_tbl[[#This Row],[tip]]-Encode_tbl[[#This Row],[predicted Tip]]</f>
        <v>0.46607765406252177</v>
      </c>
      <c r="O87" s="6">
        <f>Encode_tbl[[#This Row],[error]]^2</f>
        <v>0.21722837961642372</v>
      </c>
      <c r="P87" s="7"/>
      <c r="Q87" s="7"/>
    </row>
    <row r="88" spans="1:17" x14ac:dyDescent="0.35">
      <c r="A88" t="s">
        <v>11</v>
      </c>
      <c r="B88" t="s">
        <v>8</v>
      </c>
      <c r="C88" t="s">
        <v>23</v>
      </c>
      <c r="D88" t="s">
        <v>24</v>
      </c>
      <c r="E88">
        <v>2</v>
      </c>
      <c r="F88">
        <v>2</v>
      </c>
      <c r="G88">
        <v>13.03</v>
      </c>
      <c r="H88">
        <f>IF(Encode_tbl[[#This Row],[sex]]="Male",1,0)</f>
        <v>1</v>
      </c>
      <c r="I88">
        <f>IF(Encode_tbl[[#This Row],[smoker]]="Yes",1,0)</f>
        <v>0</v>
      </c>
      <c r="J88">
        <f>IF(Encode_tbl[[#This Row],[day]]="Fri",1,0)</f>
        <v>0</v>
      </c>
      <c r="K88">
        <f>IF(Encode_tbl[[#This Row],[day]]="Sat",1,0)</f>
        <v>0</v>
      </c>
      <c r="L88">
        <f>IF(Encode_tbl[[#This Row],[day]]="Sun",1,0)</f>
        <v>0</v>
      </c>
      <c r="M88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2.2611231731480657</v>
      </c>
      <c r="N88" s="6">
        <f>Encode_tbl[[#This Row],[tip]]-Encode_tbl[[#This Row],[predicted Tip]]</f>
        <v>-0.26112317314806566</v>
      </c>
      <c r="O88" s="6">
        <f>Encode_tbl[[#This Row],[error]]^2</f>
        <v>6.8185311554914682E-2</v>
      </c>
      <c r="P88" s="7"/>
      <c r="Q88" s="7"/>
    </row>
    <row r="89" spans="1:17" x14ac:dyDescent="0.35">
      <c r="A89" t="s">
        <v>11</v>
      </c>
      <c r="B89" t="s">
        <v>8</v>
      </c>
      <c r="C89" t="s">
        <v>23</v>
      </c>
      <c r="D89" t="s">
        <v>24</v>
      </c>
      <c r="E89">
        <v>4</v>
      </c>
      <c r="F89">
        <v>2</v>
      </c>
      <c r="G89">
        <v>18.28</v>
      </c>
      <c r="H89">
        <f>IF(Encode_tbl[[#This Row],[sex]]="Male",1,0)</f>
        <v>1</v>
      </c>
      <c r="I89">
        <f>IF(Encode_tbl[[#This Row],[smoker]]="Yes",1,0)</f>
        <v>0</v>
      </c>
      <c r="J89">
        <f>IF(Encode_tbl[[#This Row],[day]]="Fri",1,0)</f>
        <v>0</v>
      </c>
      <c r="K89">
        <f>IF(Encode_tbl[[#This Row],[day]]="Sat",1,0)</f>
        <v>0</v>
      </c>
      <c r="L89">
        <f>IF(Encode_tbl[[#This Row],[day]]="Sun",1,0)</f>
        <v>0</v>
      </c>
      <c r="M89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2.7558532210594522</v>
      </c>
      <c r="N89" s="6">
        <f>Encode_tbl[[#This Row],[tip]]-Encode_tbl[[#This Row],[predicted Tip]]</f>
        <v>1.2441467789405478</v>
      </c>
      <c r="O89" s="6">
        <f>Encode_tbl[[#This Row],[error]]^2</f>
        <v>1.5479012075481404</v>
      </c>
      <c r="P89" s="7"/>
      <c r="Q89" s="7"/>
    </row>
    <row r="90" spans="1:17" x14ac:dyDescent="0.35">
      <c r="A90" t="s">
        <v>11</v>
      </c>
      <c r="B90" t="s">
        <v>8</v>
      </c>
      <c r="C90" t="s">
        <v>23</v>
      </c>
      <c r="D90" t="s">
        <v>24</v>
      </c>
      <c r="E90">
        <v>5.85</v>
      </c>
      <c r="F90">
        <v>2</v>
      </c>
      <c r="G90">
        <v>24.71</v>
      </c>
      <c r="H90">
        <f>IF(Encode_tbl[[#This Row],[sex]]="Male",1,0)</f>
        <v>1</v>
      </c>
      <c r="I90">
        <f>IF(Encode_tbl[[#This Row],[smoker]]="Yes",1,0)</f>
        <v>0</v>
      </c>
      <c r="J90">
        <f>IF(Encode_tbl[[#This Row],[day]]="Fri",1,0)</f>
        <v>0</v>
      </c>
      <c r="K90">
        <f>IF(Encode_tbl[[#This Row],[day]]="Sat",1,0)</f>
        <v>0</v>
      </c>
      <c r="L90">
        <f>IF(Encode_tbl[[#This Row],[day]]="Sun",1,0)</f>
        <v>0</v>
      </c>
      <c r="M90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3.3617797368823501</v>
      </c>
      <c r="N90" s="6">
        <f>Encode_tbl[[#This Row],[tip]]-Encode_tbl[[#This Row],[predicted Tip]]</f>
        <v>2.4882202631176495</v>
      </c>
      <c r="O90" s="6">
        <f>Encode_tbl[[#This Row],[error]]^2</f>
        <v>6.1912400777892653</v>
      </c>
      <c r="P90" s="7"/>
      <c r="Q90" s="7"/>
    </row>
    <row r="91" spans="1:17" x14ac:dyDescent="0.35">
      <c r="A91" t="s">
        <v>11</v>
      </c>
      <c r="B91" t="s">
        <v>8</v>
      </c>
      <c r="C91" t="s">
        <v>23</v>
      </c>
      <c r="D91" t="s">
        <v>24</v>
      </c>
      <c r="E91">
        <v>3</v>
      </c>
      <c r="F91">
        <v>2</v>
      </c>
      <c r="G91">
        <v>21.16</v>
      </c>
      <c r="H91">
        <f>IF(Encode_tbl[[#This Row],[sex]]="Male",1,0)</f>
        <v>1</v>
      </c>
      <c r="I91">
        <f>IF(Encode_tbl[[#This Row],[smoker]]="Yes",1,0)</f>
        <v>0</v>
      </c>
      <c r="J91">
        <f>IF(Encode_tbl[[#This Row],[day]]="Fri",1,0)</f>
        <v>0</v>
      </c>
      <c r="K91">
        <f>IF(Encode_tbl[[#This Row],[day]]="Sat",1,0)</f>
        <v>0</v>
      </c>
      <c r="L91">
        <f>IF(Encode_tbl[[#This Row],[day]]="Sun",1,0)</f>
        <v>0</v>
      </c>
      <c r="M91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3.0272479901994127</v>
      </c>
      <c r="N91" s="6">
        <f>Encode_tbl[[#This Row],[tip]]-Encode_tbl[[#This Row],[predicted Tip]]</f>
        <v>-2.7247990199412708E-2</v>
      </c>
      <c r="O91" s="6">
        <f>Encode_tbl[[#This Row],[error]]^2</f>
        <v>7.4245296990729098E-4</v>
      </c>
      <c r="P91" s="7"/>
      <c r="Q91" s="7"/>
    </row>
    <row r="92" spans="1:17" x14ac:dyDescent="0.35">
      <c r="A92" t="s">
        <v>11</v>
      </c>
      <c r="B92" t="s">
        <v>22</v>
      </c>
      <c r="C92" t="s">
        <v>25</v>
      </c>
      <c r="D92" t="s">
        <v>10</v>
      </c>
      <c r="E92">
        <v>3</v>
      </c>
      <c r="F92">
        <v>2</v>
      </c>
      <c r="G92">
        <v>28.97</v>
      </c>
      <c r="H92">
        <f>IF(Encode_tbl[[#This Row],[sex]]="Male",1,0)</f>
        <v>1</v>
      </c>
      <c r="I92">
        <f>IF(Encode_tbl[[#This Row],[smoker]]="Yes",1,0)</f>
        <v>1</v>
      </c>
      <c r="J92">
        <f>IF(Encode_tbl[[#This Row],[day]]="Fri",1,0)</f>
        <v>1</v>
      </c>
      <c r="K92">
        <f>IF(Encode_tbl[[#This Row],[day]]="Sat",1,0)</f>
        <v>0</v>
      </c>
      <c r="L92">
        <f>IF(Encode_tbl[[#This Row],[day]]="Sun",1,0)</f>
        <v>0</v>
      </c>
      <c r="M92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3.7963496236151055</v>
      </c>
      <c r="N92" s="6">
        <f>Encode_tbl[[#This Row],[tip]]-Encode_tbl[[#This Row],[predicted Tip]]</f>
        <v>-0.79634962361510553</v>
      </c>
      <c r="O92" s="6">
        <f>Encode_tbl[[#This Row],[error]]^2</f>
        <v>0.63417272303192029</v>
      </c>
      <c r="P92" s="7"/>
      <c r="Q92" s="7"/>
    </row>
    <row r="93" spans="1:17" x14ac:dyDescent="0.35">
      <c r="A93" t="s">
        <v>11</v>
      </c>
      <c r="B93" t="s">
        <v>8</v>
      </c>
      <c r="C93" t="s">
        <v>25</v>
      </c>
      <c r="D93" t="s">
        <v>10</v>
      </c>
      <c r="E93">
        <v>3.5</v>
      </c>
      <c r="F93">
        <v>2</v>
      </c>
      <c r="G93">
        <v>22.49</v>
      </c>
      <c r="H93">
        <f>IF(Encode_tbl[[#This Row],[sex]]="Male",1,0)</f>
        <v>1</v>
      </c>
      <c r="I93">
        <f>IF(Encode_tbl[[#This Row],[smoker]]="Yes",1,0)</f>
        <v>0</v>
      </c>
      <c r="J93">
        <f>IF(Encode_tbl[[#This Row],[day]]="Fri",1,0)</f>
        <v>1</v>
      </c>
      <c r="K93">
        <f>IF(Encode_tbl[[#This Row],[day]]="Sat",1,0)</f>
        <v>0</v>
      </c>
      <c r="L93">
        <f>IF(Encode_tbl[[#This Row],[day]]="Sun",1,0)</f>
        <v>0</v>
      </c>
      <c r="M93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3.2674048357501726</v>
      </c>
      <c r="N93" s="6">
        <f>Encode_tbl[[#This Row],[tip]]-Encode_tbl[[#This Row],[predicted Tip]]</f>
        <v>0.2325951642498274</v>
      </c>
      <c r="O93" s="6">
        <f>Encode_tbl[[#This Row],[error]]^2</f>
        <v>5.4100510432404186E-2</v>
      </c>
      <c r="P93" s="7"/>
      <c r="Q93" s="7"/>
    </row>
    <row r="94" spans="1:17" x14ac:dyDescent="0.35">
      <c r="A94" t="s">
        <v>7</v>
      </c>
      <c r="B94" t="s">
        <v>22</v>
      </c>
      <c r="C94" t="s">
        <v>25</v>
      </c>
      <c r="D94" t="s">
        <v>10</v>
      </c>
      <c r="E94">
        <v>1</v>
      </c>
      <c r="F94">
        <v>2</v>
      </c>
      <c r="G94">
        <v>5.75</v>
      </c>
      <c r="H94">
        <f>IF(Encode_tbl[[#This Row],[sex]]="Male",1,0)</f>
        <v>0</v>
      </c>
      <c r="I94">
        <f>IF(Encode_tbl[[#This Row],[smoker]]="Yes",1,0)</f>
        <v>1</v>
      </c>
      <c r="J94">
        <f>IF(Encode_tbl[[#This Row],[day]]="Fri",1,0)</f>
        <v>1</v>
      </c>
      <c r="K94">
        <f>IF(Encode_tbl[[#This Row],[day]]="Sat",1,0)</f>
        <v>0</v>
      </c>
      <c r="L94">
        <f>IF(Encode_tbl[[#This Row],[day]]="Sun",1,0)</f>
        <v>0</v>
      </c>
      <c r="M94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1.6425296401270129</v>
      </c>
      <c r="N94" s="6">
        <f>Encode_tbl[[#This Row],[tip]]-Encode_tbl[[#This Row],[predicted Tip]]</f>
        <v>-0.64252964012701286</v>
      </c>
      <c r="O94" s="6">
        <f>Encode_tbl[[#This Row],[error]]^2</f>
        <v>0.41284433844174867</v>
      </c>
      <c r="P94" s="7"/>
      <c r="Q94" s="7"/>
    </row>
    <row r="95" spans="1:17" x14ac:dyDescent="0.35">
      <c r="A95" t="s">
        <v>7</v>
      </c>
      <c r="B95" t="s">
        <v>22</v>
      </c>
      <c r="C95" t="s">
        <v>25</v>
      </c>
      <c r="D95" t="s">
        <v>10</v>
      </c>
      <c r="E95">
        <v>4.3</v>
      </c>
      <c r="F95">
        <v>2</v>
      </c>
      <c r="G95">
        <v>16.32</v>
      </c>
      <c r="H95">
        <f>IF(Encode_tbl[[#This Row],[sex]]="Male",1,0)</f>
        <v>0</v>
      </c>
      <c r="I95">
        <f>IF(Encode_tbl[[#This Row],[smoker]]="Yes",1,0)</f>
        <v>1</v>
      </c>
      <c r="J95">
        <f>IF(Encode_tbl[[#This Row],[day]]="Fri",1,0)</f>
        <v>1</v>
      </c>
      <c r="K95">
        <f>IF(Encode_tbl[[#This Row],[day]]="Sat",1,0)</f>
        <v>0</v>
      </c>
      <c r="L95">
        <f>IF(Encode_tbl[[#This Row],[day]]="Sun",1,0)</f>
        <v>0</v>
      </c>
      <c r="M95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2.6385861365886041</v>
      </c>
      <c r="N95" s="6">
        <f>Encode_tbl[[#This Row],[tip]]-Encode_tbl[[#This Row],[predicted Tip]]</f>
        <v>1.6614138634113957</v>
      </c>
      <c r="O95" s="6">
        <f>Encode_tbl[[#This Row],[error]]^2</f>
        <v>2.7602960255355797</v>
      </c>
      <c r="P95" s="7"/>
      <c r="Q95" s="7"/>
    </row>
    <row r="96" spans="1:17" x14ac:dyDescent="0.35">
      <c r="A96" t="s">
        <v>7</v>
      </c>
      <c r="B96" t="s">
        <v>8</v>
      </c>
      <c r="C96" t="s">
        <v>25</v>
      </c>
      <c r="D96" t="s">
        <v>10</v>
      </c>
      <c r="E96">
        <v>3.25</v>
      </c>
      <c r="F96">
        <v>2</v>
      </c>
      <c r="G96">
        <v>22.75</v>
      </c>
      <c r="H96">
        <f>IF(Encode_tbl[[#This Row],[sex]]="Male",1,0)</f>
        <v>0</v>
      </c>
      <c r="I96">
        <f>IF(Encode_tbl[[#This Row],[smoker]]="Yes",1,0)</f>
        <v>0</v>
      </c>
      <c r="J96">
        <f>IF(Encode_tbl[[#This Row],[day]]="Fri",1,0)</f>
        <v>1</v>
      </c>
      <c r="K96">
        <f>IF(Encode_tbl[[#This Row],[day]]="Sat",1,0)</f>
        <v>0</v>
      </c>
      <c r="L96">
        <f>IF(Encode_tbl[[#This Row],[day]]="Sun",1,0)</f>
        <v>0</v>
      </c>
      <c r="M96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3.3262060951114805</v>
      </c>
      <c r="N96" s="6">
        <f>Encode_tbl[[#This Row],[tip]]-Encode_tbl[[#This Row],[predicted Tip]]</f>
        <v>-7.6206095111480465E-2</v>
      </c>
      <c r="O96" s="6">
        <f>Encode_tbl[[#This Row],[error]]^2</f>
        <v>5.8073689321400069E-3</v>
      </c>
      <c r="P96" s="7"/>
      <c r="Q96" s="7"/>
    </row>
    <row r="97" spans="1:17" x14ac:dyDescent="0.35">
      <c r="A97" t="s">
        <v>11</v>
      </c>
      <c r="B97" t="s">
        <v>22</v>
      </c>
      <c r="C97" t="s">
        <v>25</v>
      </c>
      <c r="D97" t="s">
        <v>10</v>
      </c>
      <c r="E97">
        <v>4.7300000000000004</v>
      </c>
      <c r="F97">
        <v>4</v>
      </c>
      <c r="G97">
        <v>40.17</v>
      </c>
      <c r="H97">
        <f>IF(Encode_tbl[[#This Row],[sex]]="Male",1,0)</f>
        <v>1</v>
      </c>
      <c r="I97">
        <f>IF(Encode_tbl[[#This Row],[smoker]]="Yes",1,0)</f>
        <v>1</v>
      </c>
      <c r="J97">
        <f>IF(Encode_tbl[[#This Row],[day]]="Fri",1,0)</f>
        <v>1</v>
      </c>
      <c r="K97">
        <f>IF(Encode_tbl[[#This Row],[day]]="Sat",1,0)</f>
        <v>0</v>
      </c>
      <c r="L97">
        <f>IF(Encode_tbl[[#This Row],[day]]="Sun",1,0)</f>
        <v>0</v>
      </c>
      <c r="M97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5.2059649283948808</v>
      </c>
      <c r="N97" s="6">
        <f>Encode_tbl[[#This Row],[tip]]-Encode_tbl[[#This Row],[predicted Tip]]</f>
        <v>-0.47596492839488036</v>
      </c>
      <c r="O97" s="6">
        <f>Encode_tbl[[#This Row],[error]]^2</f>
        <v>0.22654261306194359</v>
      </c>
      <c r="P97" s="7"/>
      <c r="Q97" s="7"/>
    </row>
    <row r="98" spans="1:17" x14ac:dyDescent="0.35">
      <c r="A98" t="s">
        <v>11</v>
      </c>
      <c r="B98" t="s">
        <v>22</v>
      </c>
      <c r="C98" t="s">
        <v>25</v>
      </c>
      <c r="D98" t="s">
        <v>10</v>
      </c>
      <c r="E98">
        <v>4</v>
      </c>
      <c r="F98">
        <v>2</v>
      </c>
      <c r="G98">
        <v>27.28</v>
      </c>
      <c r="H98">
        <f>IF(Encode_tbl[[#This Row],[sex]]="Male",1,0)</f>
        <v>1</v>
      </c>
      <c r="I98">
        <f>IF(Encode_tbl[[#This Row],[smoker]]="Yes",1,0)</f>
        <v>1</v>
      </c>
      <c r="J98">
        <f>IF(Encode_tbl[[#This Row],[day]]="Fri",1,0)</f>
        <v>1</v>
      </c>
      <c r="K98">
        <f>IF(Encode_tbl[[#This Row],[day]]="Sat",1,0)</f>
        <v>0</v>
      </c>
      <c r="L98">
        <f>IF(Encode_tbl[[#This Row],[day]]="Sun",1,0)</f>
        <v>0</v>
      </c>
      <c r="M98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3.6370936653350592</v>
      </c>
      <c r="N98" s="6">
        <f>Encode_tbl[[#This Row],[tip]]-Encode_tbl[[#This Row],[predicted Tip]]</f>
        <v>0.36290633466494082</v>
      </c>
      <c r="O98" s="6">
        <f>Encode_tbl[[#This Row],[error]]^2</f>
        <v>0.13170100773994203</v>
      </c>
      <c r="P98" s="7"/>
      <c r="Q98" s="7"/>
    </row>
    <row r="99" spans="1:17" x14ac:dyDescent="0.35">
      <c r="A99" t="s">
        <v>11</v>
      </c>
      <c r="B99" t="s">
        <v>22</v>
      </c>
      <c r="C99" t="s">
        <v>25</v>
      </c>
      <c r="D99" t="s">
        <v>10</v>
      </c>
      <c r="E99">
        <v>1.5</v>
      </c>
      <c r="F99">
        <v>2</v>
      </c>
      <c r="G99">
        <v>12.03</v>
      </c>
      <c r="H99">
        <f>IF(Encode_tbl[[#This Row],[sex]]="Male",1,0)</f>
        <v>1</v>
      </c>
      <c r="I99">
        <f>IF(Encode_tbl[[#This Row],[smoker]]="Yes",1,0)</f>
        <v>1</v>
      </c>
      <c r="J99">
        <f>IF(Encode_tbl[[#This Row],[day]]="Fri",1,0)</f>
        <v>1</v>
      </c>
      <c r="K99">
        <f>IF(Encode_tbl[[#This Row],[day]]="Sat",1,0)</f>
        <v>0</v>
      </c>
      <c r="L99">
        <f>IF(Encode_tbl[[#This Row],[day]]="Sun",1,0)</f>
        <v>0</v>
      </c>
      <c r="M99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2.2000206690210318</v>
      </c>
      <c r="N99" s="6">
        <f>Encode_tbl[[#This Row],[tip]]-Encode_tbl[[#This Row],[predicted Tip]]</f>
        <v>-0.70002066902103177</v>
      </c>
      <c r="O99" s="6">
        <f>Encode_tbl[[#This Row],[error]]^2</f>
        <v>0.4900289370566529</v>
      </c>
      <c r="P99" s="7"/>
      <c r="Q99" s="7"/>
    </row>
    <row r="100" spans="1:17" x14ac:dyDescent="0.35">
      <c r="A100" t="s">
        <v>11</v>
      </c>
      <c r="B100" t="s">
        <v>22</v>
      </c>
      <c r="C100" t="s">
        <v>25</v>
      </c>
      <c r="D100" t="s">
        <v>10</v>
      </c>
      <c r="E100">
        <v>3</v>
      </c>
      <c r="F100">
        <v>2</v>
      </c>
      <c r="G100">
        <v>21.01</v>
      </c>
      <c r="H100">
        <f>IF(Encode_tbl[[#This Row],[sex]]="Male",1,0)</f>
        <v>1</v>
      </c>
      <c r="I100">
        <f>IF(Encode_tbl[[#This Row],[smoker]]="Yes",1,0)</f>
        <v>1</v>
      </c>
      <c r="J100">
        <f>IF(Encode_tbl[[#This Row],[day]]="Fri",1,0)</f>
        <v>1</v>
      </c>
      <c r="K100">
        <f>IF(Encode_tbl[[#This Row],[day]]="Sat",1,0)</f>
        <v>0</v>
      </c>
      <c r="L100">
        <f>IF(Encode_tbl[[#This Row],[day]]="Sun",1,0)</f>
        <v>0</v>
      </c>
      <c r="M100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3.0462446366866036</v>
      </c>
      <c r="N100" s="6">
        <f>Encode_tbl[[#This Row],[tip]]-Encode_tbl[[#This Row],[predicted Tip]]</f>
        <v>-4.6244636686603613E-2</v>
      </c>
      <c r="O100" s="6">
        <f>Encode_tbl[[#This Row],[error]]^2</f>
        <v>2.1385664222759648E-3</v>
      </c>
      <c r="P100" s="7"/>
      <c r="Q100" s="7"/>
    </row>
    <row r="101" spans="1:17" x14ac:dyDescent="0.35">
      <c r="A101" t="s">
        <v>11</v>
      </c>
      <c r="B101" t="s">
        <v>8</v>
      </c>
      <c r="C101" t="s">
        <v>25</v>
      </c>
      <c r="D101" t="s">
        <v>10</v>
      </c>
      <c r="E101">
        <v>1.5</v>
      </c>
      <c r="F101">
        <v>2</v>
      </c>
      <c r="G101">
        <v>12.46</v>
      </c>
      <c r="H101">
        <f>IF(Encode_tbl[[#This Row],[sex]]="Male",1,0)</f>
        <v>1</v>
      </c>
      <c r="I101">
        <f>IF(Encode_tbl[[#This Row],[smoker]]="Yes",1,0)</f>
        <v>0</v>
      </c>
      <c r="J101">
        <f>IF(Encode_tbl[[#This Row],[day]]="Fri",1,0)</f>
        <v>1</v>
      </c>
      <c r="K101">
        <f>IF(Encode_tbl[[#This Row],[day]]="Sat",1,0)</f>
        <v>0</v>
      </c>
      <c r="L101">
        <f>IF(Encode_tbl[[#This Row],[day]]="Sun",1,0)</f>
        <v>0</v>
      </c>
      <c r="M101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2.3222348585023243</v>
      </c>
      <c r="N101" s="6">
        <f>Encode_tbl[[#This Row],[tip]]-Encode_tbl[[#This Row],[predicted Tip]]</f>
        <v>-0.82223485850232425</v>
      </c>
      <c r="O101" s="6">
        <f>Encode_tbl[[#This Row],[error]]^2</f>
        <v>0.67607016253633723</v>
      </c>
      <c r="P101" s="7"/>
      <c r="Q101" s="7"/>
    </row>
    <row r="102" spans="1:17" x14ac:dyDescent="0.35">
      <c r="A102" t="s">
        <v>7</v>
      </c>
      <c r="B102" t="s">
        <v>22</v>
      </c>
      <c r="C102" t="s">
        <v>25</v>
      </c>
      <c r="D102" t="s">
        <v>10</v>
      </c>
      <c r="E102">
        <v>2.5</v>
      </c>
      <c r="F102">
        <v>2</v>
      </c>
      <c r="G102">
        <v>11.35</v>
      </c>
      <c r="H102">
        <f>IF(Encode_tbl[[#This Row],[sex]]="Male",1,0)</f>
        <v>0</v>
      </c>
      <c r="I102">
        <f>IF(Encode_tbl[[#This Row],[smoker]]="Yes",1,0)</f>
        <v>1</v>
      </c>
      <c r="J102">
        <f>IF(Encode_tbl[[#This Row],[day]]="Fri",1,0)</f>
        <v>1</v>
      </c>
      <c r="K102">
        <f>IF(Encode_tbl[[#This Row],[day]]="Sat",1,0)</f>
        <v>0</v>
      </c>
      <c r="L102">
        <f>IF(Encode_tbl[[#This Row],[day]]="Sun",1,0)</f>
        <v>0</v>
      </c>
      <c r="M102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2.1702416912324911</v>
      </c>
      <c r="N102" s="6">
        <f>Encode_tbl[[#This Row],[tip]]-Encode_tbl[[#This Row],[predicted Tip]]</f>
        <v>0.32975830876750889</v>
      </c>
      <c r="O102" s="6">
        <f>Encode_tbl[[#This Row],[error]]^2</f>
        <v>0.10874054220120773</v>
      </c>
      <c r="P102" s="7"/>
      <c r="Q102" s="7"/>
    </row>
    <row r="103" spans="1:17" x14ac:dyDescent="0.35">
      <c r="A103" t="s">
        <v>7</v>
      </c>
      <c r="B103" t="s">
        <v>22</v>
      </c>
      <c r="C103" t="s">
        <v>25</v>
      </c>
      <c r="D103" t="s">
        <v>10</v>
      </c>
      <c r="E103">
        <v>3</v>
      </c>
      <c r="F103">
        <v>2</v>
      </c>
      <c r="G103">
        <v>15.38</v>
      </c>
      <c r="H103">
        <f>IF(Encode_tbl[[#This Row],[sex]]="Male",1,0)</f>
        <v>0</v>
      </c>
      <c r="I103">
        <f>IF(Encode_tbl[[#This Row],[smoker]]="Yes",1,0)</f>
        <v>1</v>
      </c>
      <c r="J103">
        <f>IF(Encode_tbl[[#This Row],[day]]="Fri",1,0)</f>
        <v>1</v>
      </c>
      <c r="K103">
        <f>IF(Encode_tbl[[#This Row],[day]]="Sat",1,0)</f>
        <v>0</v>
      </c>
      <c r="L103">
        <f>IF(Encode_tbl[[#This Row],[day]]="Sun",1,0)</f>
        <v>0</v>
      </c>
      <c r="M103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2.5500058994387556</v>
      </c>
      <c r="N103" s="6">
        <f>Encode_tbl[[#This Row],[tip]]-Encode_tbl[[#This Row],[predicted Tip]]</f>
        <v>0.44999410056124445</v>
      </c>
      <c r="O103" s="6">
        <f>Encode_tbl[[#This Row],[error]]^2</f>
        <v>0.20249469053992339</v>
      </c>
      <c r="P103" s="7"/>
      <c r="Q103" s="7"/>
    </row>
    <row r="104" spans="1:17" x14ac:dyDescent="0.35">
      <c r="A104" t="s">
        <v>7</v>
      </c>
      <c r="B104" t="s">
        <v>22</v>
      </c>
      <c r="C104" t="s">
        <v>21</v>
      </c>
      <c r="D104" t="s">
        <v>10</v>
      </c>
      <c r="E104">
        <v>2.5</v>
      </c>
      <c r="F104">
        <v>3</v>
      </c>
      <c r="G104">
        <v>44.3</v>
      </c>
      <c r="H104">
        <f>IF(Encode_tbl[[#This Row],[sex]]="Male",1,0)</f>
        <v>0</v>
      </c>
      <c r="I104">
        <f>IF(Encode_tbl[[#This Row],[smoker]]="Yes",1,0)</f>
        <v>1</v>
      </c>
      <c r="J104">
        <f>IF(Encode_tbl[[#This Row],[day]]="Fri",1,0)</f>
        <v>0</v>
      </c>
      <c r="K104">
        <f>IF(Encode_tbl[[#This Row],[day]]="Sat",1,0)</f>
        <v>1</v>
      </c>
      <c r="L104">
        <f>IF(Encode_tbl[[#This Row],[day]]="Sun",1,0)</f>
        <v>0</v>
      </c>
      <c r="M104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5.3079040959982722</v>
      </c>
      <c r="N104" s="6">
        <f>Encode_tbl[[#This Row],[tip]]-Encode_tbl[[#This Row],[predicted Tip]]</f>
        <v>-2.8079040959982722</v>
      </c>
      <c r="O104" s="6">
        <f>Encode_tbl[[#This Row],[error]]^2</f>
        <v>7.8843254123238742</v>
      </c>
      <c r="P104" s="7"/>
      <c r="Q104" s="7"/>
    </row>
    <row r="105" spans="1:17" x14ac:dyDescent="0.35">
      <c r="A105" t="s">
        <v>7</v>
      </c>
      <c r="B105" t="s">
        <v>22</v>
      </c>
      <c r="C105" t="s">
        <v>21</v>
      </c>
      <c r="D105" t="s">
        <v>10</v>
      </c>
      <c r="E105">
        <v>3.48</v>
      </c>
      <c r="F105">
        <v>2</v>
      </c>
      <c r="G105">
        <v>22.42</v>
      </c>
      <c r="H105">
        <f>IF(Encode_tbl[[#This Row],[sex]]="Male",1,0)</f>
        <v>0</v>
      </c>
      <c r="I105">
        <f>IF(Encode_tbl[[#This Row],[smoker]]="Yes",1,0)</f>
        <v>1</v>
      </c>
      <c r="J105">
        <f>IF(Encode_tbl[[#This Row],[day]]="Fri",1,0)</f>
        <v>0</v>
      </c>
      <c r="K105">
        <f>IF(Encode_tbl[[#This Row],[day]]="Sat",1,0)</f>
        <v>1</v>
      </c>
      <c r="L105">
        <f>IF(Encode_tbl[[#This Row],[day]]="Sun",1,0)</f>
        <v>0</v>
      </c>
      <c r="M105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3.0689621236088866</v>
      </c>
      <c r="N105" s="6">
        <f>Encode_tbl[[#This Row],[tip]]-Encode_tbl[[#This Row],[predicted Tip]]</f>
        <v>0.41103787639111333</v>
      </c>
      <c r="O105" s="6">
        <f>Encode_tbl[[#This Row],[error]]^2</f>
        <v>0.16895213582811616</v>
      </c>
      <c r="P105" s="7"/>
      <c r="Q105" s="7"/>
    </row>
    <row r="106" spans="1:17" x14ac:dyDescent="0.35">
      <c r="A106" t="s">
        <v>7</v>
      </c>
      <c r="B106" t="s">
        <v>8</v>
      </c>
      <c r="C106" t="s">
        <v>21</v>
      </c>
      <c r="D106" t="s">
        <v>10</v>
      </c>
      <c r="E106">
        <v>4.08</v>
      </c>
      <c r="F106">
        <v>2</v>
      </c>
      <c r="G106">
        <v>20.92</v>
      </c>
      <c r="H106">
        <f>IF(Encode_tbl[[#This Row],[sex]]="Male",1,0)</f>
        <v>0</v>
      </c>
      <c r="I106">
        <f>IF(Encode_tbl[[#This Row],[smoker]]="Yes",1,0)</f>
        <v>0</v>
      </c>
      <c r="J106">
        <f>IF(Encode_tbl[[#This Row],[day]]="Fri",1,0)</f>
        <v>0</v>
      </c>
      <c r="K106">
        <f>IF(Encode_tbl[[#This Row],[day]]="Sat",1,0)</f>
        <v>1</v>
      </c>
      <c r="L106">
        <f>IF(Encode_tbl[[#This Row],[day]]="Sun",1,0)</f>
        <v>0</v>
      </c>
      <c r="M106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3.009304124048469</v>
      </c>
      <c r="N106" s="6">
        <f>Encode_tbl[[#This Row],[tip]]-Encode_tbl[[#This Row],[predicted Tip]]</f>
        <v>1.070695875951531</v>
      </c>
      <c r="O106" s="6">
        <f>Encode_tbl[[#This Row],[error]]^2</f>
        <v>1.1463896587796163</v>
      </c>
      <c r="P106" s="7"/>
      <c r="Q106" s="7"/>
    </row>
    <row r="107" spans="1:17" x14ac:dyDescent="0.35">
      <c r="A107" t="s">
        <v>11</v>
      </c>
      <c r="B107" t="s">
        <v>22</v>
      </c>
      <c r="C107" t="s">
        <v>21</v>
      </c>
      <c r="D107" t="s">
        <v>10</v>
      </c>
      <c r="E107">
        <v>1.64</v>
      </c>
      <c r="F107">
        <v>2</v>
      </c>
      <c r="G107">
        <v>15.36</v>
      </c>
      <c r="H107">
        <f>IF(Encode_tbl[[#This Row],[sex]]="Male",1,0)</f>
        <v>1</v>
      </c>
      <c r="I107">
        <f>IF(Encode_tbl[[#This Row],[smoker]]="Yes",1,0)</f>
        <v>1</v>
      </c>
      <c r="J107">
        <f>IF(Encode_tbl[[#This Row],[day]]="Fri",1,0)</f>
        <v>0</v>
      </c>
      <c r="K107">
        <f>IF(Encode_tbl[[#This Row],[day]]="Sat",1,0)</f>
        <v>1</v>
      </c>
      <c r="L107">
        <f>IF(Encode_tbl[[#This Row],[day]]="Sun",1,0)</f>
        <v>0</v>
      </c>
      <c r="M107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2.3693676593337831</v>
      </c>
      <c r="N107" s="6">
        <f>Encode_tbl[[#This Row],[tip]]-Encode_tbl[[#This Row],[predicted Tip]]</f>
        <v>-0.72936765933378322</v>
      </c>
      <c r="O107" s="6">
        <f>Encode_tbl[[#This Row],[error]]^2</f>
        <v>0.53197718248204162</v>
      </c>
      <c r="P107" s="7"/>
      <c r="Q107" s="7"/>
    </row>
    <row r="108" spans="1:17" x14ac:dyDescent="0.35">
      <c r="A108" t="s">
        <v>11</v>
      </c>
      <c r="B108" t="s">
        <v>22</v>
      </c>
      <c r="C108" t="s">
        <v>21</v>
      </c>
      <c r="D108" t="s">
        <v>10</v>
      </c>
      <c r="E108">
        <v>4.0599999999999996</v>
      </c>
      <c r="F108">
        <v>2</v>
      </c>
      <c r="G108">
        <v>20.49</v>
      </c>
      <c r="H108">
        <f>IF(Encode_tbl[[#This Row],[sex]]="Male",1,0)</f>
        <v>1</v>
      </c>
      <c r="I108">
        <f>IF(Encode_tbl[[#This Row],[smoker]]="Yes",1,0)</f>
        <v>1</v>
      </c>
      <c r="J108">
        <f>IF(Encode_tbl[[#This Row],[day]]="Fri",1,0)</f>
        <v>0</v>
      </c>
      <c r="K108">
        <f>IF(Encode_tbl[[#This Row],[day]]="Sat",1,0)</f>
        <v>1</v>
      </c>
      <c r="L108">
        <f>IF(Encode_tbl[[#This Row],[day]]="Sun",1,0)</f>
        <v>0</v>
      </c>
      <c r="M108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2.8527895918643376</v>
      </c>
      <c r="N108" s="6">
        <f>Encode_tbl[[#This Row],[tip]]-Encode_tbl[[#This Row],[predicted Tip]]</f>
        <v>1.207210408135662</v>
      </c>
      <c r="O108" s="6">
        <f>Encode_tbl[[#This Row],[error]]^2</f>
        <v>1.4573569695110717</v>
      </c>
      <c r="P108" s="7"/>
      <c r="Q108" s="7"/>
    </row>
    <row r="109" spans="1:17" x14ac:dyDescent="0.35">
      <c r="A109" t="s">
        <v>11</v>
      </c>
      <c r="B109" t="s">
        <v>22</v>
      </c>
      <c r="C109" t="s">
        <v>21</v>
      </c>
      <c r="D109" t="s">
        <v>10</v>
      </c>
      <c r="E109">
        <v>4.29</v>
      </c>
      <c r="F109">
        <v>2</v>
      </c>
      <c r="G109">
        <v>25.21</v>
      </c>
      <c r="H109">
        <f>IF(Encode_tbl[[#This Row],[sex]]="Male",1,0)</f>
        <v>1</v>
      </c>
      <c r="I109">
        <f>IF(Encode_tbl[[#This Row],[smoker]]="Yes",1,0)</f>
        <v>1</v>
      </c>
      <c r="J109">
        <f>IF(Encode_tbl[[#This Row],[day]]="Fri",1,0)</f>
        <v>0</v>
      </c>
      <c r="K109">
        <f>IF(Encode_tbl[[#This Row],[day]]="Sat",1,0)</f>
        <v>1</v>
      </c>
      <c r="L109">
        <f>IF(Encode_tbl[[#This Row],[day]]="Sun",1,0)</f>
        <v>0</v>
      </c>
      <c r="M109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3.2975754635103844</v>
      </c>
      <c r="N109" s="6">
        <f>Encode_tbl[[#This Row],[tip]]-Encode_tbl[[#This Row],[predicted Tip]]</f>
        <v>0.99242453648961559</v>
      </c>
      <c r="O109" s="6">
        <f>Encode_tbl[[#This Row],[error]]^2</f>
        <v>0.98490646062662834</v>
      </c>
      <c r="P109" s="7"/>
      <c r="Q109" s="7"/>
    </row>
    <row r="110" spans="1:17" x14ac:dyDescent="0.35">
      <c r="A110" t="s">
        <v>11</v>
      </c>
      <c r="B110" t="s">
        <v>8</v>
      </c>
      <c r="C110" t="s">
        <v>21</v>
      </c>
      <c r="D110" t="s">
        <v>10</v>
      </c>
      <c r="E110">
        <v>3.76</v>
      </c>
      <c r="F110">
        <v>2</v>
      </c>
      <c r="G110">
        <v>18.239999999999998</v>
      </c>
      <c r="H110">
        <f>IF(Encode_tbl[[#This Row],[sex]]="Male",1,0)</f>
        <v>1</v>
      </c>
      <c r="I110">
        <f>IF(Encode_tbl[[#This Row],[smoker]]="Yes",1,0)</f>
        <v>0</v>
      </c>
      <c r="J110">
        <f>IF(Encode_tbl[[#This Row],[day]]="Fri",1,0)</f>
        <v>0</v>
      </c>
      <c r="K110">
        <f>IF(Encode_tbl[[#This Row],[day]]="Sat",1,0)</f>
        <v>1</v>
      </c>
      <c r="L110">
        <f>IF(Encode_tbl[[#This Row],[day]]="Sun",1,0)</f>
        <v>0</v>
      </c>
      <c r="M110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2.7224558711737217</v>
      </c>
      <c r="N110" s="6">
        <f>Encode_tbl[[#This Row],[tip]]-Encode_tbl[[#This Row],[predicted Tip]]</f>
        <v>1.0375441288262781</v>
      </c>
      <c r="O110" s="6">
        <f>Encode_tbl[[#This Row],[error]]^2</f>
        <v>1.0764978192618804</v>
      </c>
      <c r="P110" s="7"/>
      <c r="Q110" s="7"/>
    </row>
    <row r="111" spans="1:17" x14ac:dyDescent="0.35">
      <c r="A111" t="s">
        <v>7</v>
      </c>
      <c r="B111" t="s">
        <v>22</v>
      </c>
      <c r="C111" t="s">
        <v>21</v>
      </c>
      <c r="D111" t="s">
        <v>10</v>
      </c>
      <c r="E111">
        <v>4</v>
      </c>
      <c r="F111">
        <v>2</v>
      </c>
      <c r="G111">
        <v>14.31</v>
      </c>
      <c r="H111">
        <f>IF(Encode_tbl[[#This Row],[sex]]="Male",1,0)</f>
        <v>0</v>
      </c>
      <c r="I111">
        <f>IF(Encode_tbl[[#This Row],[smoker]]="Yes",1,0)</f>
        <v>1</v>
      </c>
      <c r="J111">
        <f>IF(Encode_tbl[[#This Row],[day]]="Fri",1,0)</f>
        <v>0</v>
      </c>
      <c r="K111">
        <f>IF(Encode_tbl[[#This Row],[day]]="Sat",1,0)</f>
        <v>1</v>
      </c>
      <c r="L111">
        <f>IF(Encode_tbl[[#This Row],[day]]="Sun",1,0)</f>
        <v>0</v>
      </c>
      <c r="M111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2.3047219924543447</v>
      </c>
      <c r="N111" s="6">
        <f>Encode_tbl[[#This Row],[tip]]-Encode_tbl[[#This Row],[predicted Tip]]</f>
        <v>1.6952780075456553</v>
      </c>
      <c r="O111" s="6">
        <f>Encode_tbl[[#This Row],[error]]^2</f>
        <v>2.8739675228679666</v>
      </c>
      <c r="P111" s="7"/>
      <c r="Q111" s="7"/>
    </row>
    <row r="112" spans="1:17" x14ac:dyDescent="0.35">
      <c r="A112" t="s">
        <v>11</v>
      </c>
      <c r="B112" t="s">
        <v>8</v>
      </c>
      <c r="C112" t="s">
        <v>21</v>
      </c>
      <c r="D112" t="s">
        <v>10</v>
      </c>
      <c r="E112">
        <v>3</v>
      </c>
      <c r="F112">
        <v>2</v>
      </c>
      <c r="G112">
        <v>14</v>
      </c>
      <c r="H112">
        <f>IF(Encode_tbl[[#This Row],[sex]]="Male",1,0)</f>
        <v>1</v>
      </c>
      <c r="I112">
        <f>IF(Encode_tbl[[#This Row],[smoker]]="Yes",1,0)</f>
        <v>0</v>
      </c>
      <c r="J112">
        <f>IF(Encode_tbl[[#This Row],[day]]="Fri",1,0)</f>
        <v>0</v>
      </c>
      <c r="K112">
        <f>IF(Encode_tbl[[#This Row],[day]]="Sat",1,0)</f>
        <v>1</v>
      </c>
      <c r="L112">
        <f>IF(Encode_tbl[[#This Row],[day]]="Sun",1,0)</f>
        <v>0</v>
      </c>
      <c r="M112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2.3229024610510023</v>
      </c>
      <c r="N112" s="6">
        <f>Encode_tbl[[#This Row],[tip]]-Encode_tbl[[#This Row],[predicted Tip]]</f>
        <v>0.67709753894899771</v>
      </c>
      <c r="O112" s="6">
        <f>Encode_tbl[[#This Row],[error]]^2</f>
        <v>0.45846107725078949</v>
      </c>
      <c r="P112" s="7"/>
      <c r="Q112" s="7"/>
    </row>
    <row r="113" spans="1:17" x14ac:dyDescent="0.35">
      <c r="A113" t="s">
        <v>7</v>
      </c>
      <c r="B113" t="s">
        <v>8</v>
      </c>
      <c r="C113" t="s">
        <v>21</v>
      </c>
      <c r="D113" t="s">
        <v>10</v>
      </c>
      <c r="E113">
        <v>1</v>
      </c>
      <c r="F113">
        <v>1</v>
      </c>
      <c r="G113">
        <v>7.25</v>
      </c>
      <c r="H113">
        <f>IF(Encode_tbl[[#This Row],[sex]]="Male",1,0)</f>
        <v>0</v>
      </c>
      <c r="I113">
        <f>IF(Encode_tbl[[#This Row],[smoker]]="Yes",1,0)</f>
        <v>0</v>
      </c>
      <c r="J113">
        <f>IF(Encode_tbl[[#This Row],[day]]="Fri",1,0)</f>
        <v>0</v>
      </c>
      <c r="K113">
        <f>IF(Encode_tbl[[#This Row],[day]]="Sat",1,0)</f>
        <v>1</v>
      </c>
      <c r="L113">
        <f>IF(Encode_tbl[[#This Row],[day]]="Sun",1,0)</f>
        <v>0</v>
      </c>
      <c r="M113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1.54402571229765</v>
      </c>
      <c r="N113" s="6">
        <f>Encode_tbl[[#This Row],[tip]]-Encode_tbl[[#This Row],[predicted Tip]]</f>
        <v>-0.54402571229764995</v>
      </c>
      <c r="O113" s="6">
        <f>Encode_tbl[[#This Row],[error]]^2</f>
        <v>0.29596397564096538</v>
      </c>
      <c r="P113" s="7"/>
      <c r="Q113" s="7"/>
    </row>
    <row r="114" spans="1:17" x14ac:dyDescent="0.35">
      <c r="A114" t="s">
        <v>11</v>
      </c>
      <c r="B114" t="s">
        <v>8</v>
      </c>
      <c r="C114" t="s">
        <v>9</v>
      </c>
      <c r="D114" t="s">
        <v>10</v>
      </c>
      <c r="E114">
        <v>4</v>
      </c>
      <c r="F114">
        <v>3</v>
      </c>
      <c r="G114">
        <v>38.07</v>
      </c>
      <c r="H114">
        <f>IF(Encode_tbl[[#This Row],[sex]]="Male",1,0)</f>
        <v>1</v>
      </c>
      <c r="I114">
        <f>IF(Encode_tbl[[#This Row],[smoker]]="Yes",1,0)</f>
        <v>0</v>
      </c>
      <c r="J114">
        <f>IF(Encode_tbl[[#This Row],[day]]="Fri",1,0)</f>
        <v>0</v>
      </c>
      <c r="K114">
        <f>IF(Encode_tbl[[#This Row],[day]]="Sat",1,0)</f>
        <v>0</v>
      </c>
      <c r="L114">
        <f>IF(Encode_tbl[[#This Row],[day]]="Sun",1,0)</f>
        <v>1</v>
      </c>
      <c r="M114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4.8653369896448702</v>
      </c>
      <c r="N114" s="6">
        <f>Encode_tbl[[#This Row],[tip]]-Encode_tbl[[#This Row],[predicted Tip]]</f>
        <v>-0.86533698964487016</v>
      </c>
      <c r="O114" s="6">
        <f>Encode_tbl[[#This Row],[error]]^2</f>
        <v>0.74880810564764611</v>
      </c>
      <c r="P114" s="7"/>
      <c r="Q114" s="7"/>
    </row>
    <row r="115" spans="1:17" x14ac:dyDescent="0.35">
      <c r="A115" t="s">
        <v>11</v>
      </c>
      <c r="B115" t="s">
        <v>8</v>
      </c>
      <c r="C115" t="s">
        <v>9</v>
      </c>
      <c r="D115" t="s">
        <v>10</v>
      </c>
      <c r="E115">
        <v>2.5499999999999998</v>
      </c>
      <c r="F115">
        <v>2</v>
      </c>
      <c r="G115">
        <v>23.95</v>
      </c>
      <c r="H115">
        <f>IF(Encode_tbl[[#This Row],[sex]]="Male",1,0)</f>
        <v>1</v>
      </c>
      <c r="I115">
        <f>IF(Encode_tbl[[#This Row],[smoker]]="Yes",1,0)</f>
        <v>0</v>
      </c>
      <c r="J115">
        <f>IF(Encode_tbl[[#This Row],[day]]="Fri",1,0)</f>
        <v>0</v>
      </c>
      <c r="K115">
        <f>IF(Encode_tbl[[#This Row],[day]]="Sat",1,0)</f>
        <v>0</v>
      </c>
      <c r="L115">
        <f>IF(Encode_tbl[[#This Row],[day]]="Sun",1,0)</f>
        <v>1</v>
      </c>
      <c r="M115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3.3576531452159322</v>
      </c>
      <c r="N115" s="6">
        <f>Encode_tbl[[#This Row],[tip]]-Encode_tbl[[#This Row],[predicted Tip]]</f>
        <v>-0.80765314521593234</v>
      </c>
      <c r="O115" s="6">
        <f>Encode_tbl[[#This Row],[error]]^2</f>
        <v>0.65230360297718792</v>
      </c>
      <c r="P115" s="7"/>
      <c r="Q115" s="7"/>
    </row>
    <row r="116" spans="1:17" x14ac:dyDescent="0.35">
      <c r="A116" t="s">
        <v>7</v>
      </c>
      <c r="B116" t="s">
        <v>8</v>
      </c>
      <c r="C116" t="s">
        <v>9</v>
      </c>
      <c r="D116" t="s">
        <v>10</v>
      </c>
      <c r="E116">
        <v>4</v>
      </c>
      <c r="F116">
        <v>3</v>
      </c>
      <c r="G116">
        <v>25.71</v>
      </c>
      <c r="H116">
        <f>IF(Encode_tbl[[#This Row],[sex]]="Male",1,0)</f>
        <v>0</v>
      </c>
      <c r="I116">
        <f>IF(Encode_tbl[[#This Row],[smoker]]="Yes",1,0)</f>
        <v>0</v>
      </c>
      <c r="J116">
        <f>IF(Encode_tbl[[#This Row],[day]]="Fri",1,0)</f>
        <v>0</v>
      </c>
      <c r="K116">
        <f>IF(Encode_tbl[[#This Row],[day]]="Sat",1,0)</f>
        <v>0</v>
      </c>
      <c r="L116">
        <f>IF(Encode_tbl[[#This Row],[day]]="Sun",1,0)</f>
        <v>1</v>
      </c>
      <c r="M116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3.7349014481220446</v>
      </c>
      <c r="N116" s="6">
        <f>Encode_tbl[[#This Row],[tip]]-Encode_tbl[[#This Row],[predicted Tip]]</f>
        <v>0.26509855187795539</v>
      </c>
      <c r="O116" s="6">
        <f>Encode_tbl[[#This Row],[error]]^2</f>
        <v>7.0277242207789012E-2</v>
      </c>
      <c r="P116" s="7"/>
      <c r="Q116" s="7"/>
    </row>
    <row r="117" spans="1:17" x14ac:dyDescent="0.35">
      <c r="A117" t="s">
        <v>7</v>
      </c>
      <c r="B117" t="s">
        <v>8</v>
      </c>
      <c r="C117" t="s">
        <v>9</v>
      </c>
      <c r="D117" t="s">
        <v>10</v>
      </c>
      <c r="E117">
        <v>3.5</v>
      </c>
      <c r="F117">
        <v>2</v>
      </c>
      <c r="G117">
        <v>17.309999999999999</v>
      </c>
      <c r="H117">
        <f>IF(Encode_tbl[[#This Row],[sex]]="Male",1,0)</f>
        <v>0</v>
      </c>
      <c r="I117">
        <f>IF(Encode_tbl[[#This Row],[smoker]]="Yes",1,0)</f>
        <v>0</v>
      </c>
      <c r="J117">
        <f>IF(Encode_tbl[[#This Row],[day]]="Fri",1,0)</f>
        <v>0</v>
      </c>
      <c r="K117">
        <f>IF(Encode_tbl[[#This Row],[day]]="Sat",1,0)</f>
        <v>0</v>
      </c>
      <c r="L117">
        <f>IF(Encode_tbl[[#This Row],[day]]="Sun",1,0)</f>
        <v>1</v>
      </c>
      <c r="M117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2.7662377701794179</v>
      </c>
      <c r="N117" s="6">
        <f>Encode_tbl[[#This Row],[tip]]-Encode_tbl[[#This Row],[predicted Tip]]</f>
        <v>0.73376222982058215</v>
      </c>
      <c r="O117" s="6">
        <f>Encode_tbl[[#This Row],[error]]^2</f>
        <v>0.53840700991127277</v>
      </c>
      <c r="P117" s="7"/>
      <c r="Q117" s="7"/>
    </row>
    <row r="118" spans="1:17" x14ac:dyDescent="0.35">
      <c r="A118" t="s">
        <v>11</v>
      </c>
      <c r="B118" t="s">
        <v>8</v>
      </c>
      <c r="C118" t="s">
        <v>9</v>
      </c>
      <c r="D118" t="s">
        <v>10</v>
      </c>
      <c r="E118">
        <v>5.07</v>
      </c>
      <c r="F118">
        <v>4</v>
      </c>
      <c r="G118">
        <v>29.93</v>
      </c>
      <c r="H118">
        <f>IF(Encode_tbl[[#This Row],[sex]]="Male",1,0)</f>
        <v>1</v>
      </c>
      <c r="I118">
        <f>IF(Encode_tbl[[#This Row],[smoker]]="Yes",1,0)</f>
        <v>0</v>
      </c>
      <c r="J118">
        <f>IF(Encode_tbl[[#This Row],[day]]="Fri",1,0)</f>
        <v>0</v>
      </c>
      <c r="K118">
        <f>IF(Encode_tbl[[#This Row],[day]]="Sat",1,0)</f>
        <v>0</v>
      </c>
      <c r="L118">
        <f>IF(Encode_tbl[[#This Row],[day]]="Sun",1,0)</f>
        <v>1</v>
      </c>
      <c r="M118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4.2753654309295284</v>
      </c>
      <c r="N118" s="6">
        <f>Encode_tbl[[#This Row],[tip]]-Encode_tbl[[#This Row],[predicted Tip]]</f>
        <v>0.79463456907047192</v>
      </c>
      <c r="O118" s="6">
        <f>Encode_tbl[[#This Row],[error]]^2</f>
        <v>0.63144409836181459</v>
      </c>
      <c r="P118" s="7"/>
      <c r="Q118" s="7"/>
    </row>
    <row r="119" spans="1:17" x14ac:dyDescent="0.35">
      <c r="A119" t="s">
        <v>7</v>
      </c>
      <c r="B119" t="s">
        <v>8</v>
      </c>
      <c r="C119" t="s">
        <v>23</v>
      </c>
      <c r="D119" t="s">
        <v>24</v>
      </c>
      <c r="E119">
        <v>1.5</v>
      </c>
      <c r="F119">
        <v>2</v>
      </c>
      <c r="G119">
        <v>10.65</v>
      </c>
      <c r="H119">
        <f>IF(Encode_tbl[[#This Row],[sex]]="Male",1,0)</f>
        <v>0</v>
      </c>
      <c r="I119">
        <f>IF(Encode_tbl[[#This Row],[smoker]]="Yes",1,0)</f>
        <v>0</v>
      </c>
      <c r="J119">
        <f>IF(Encode_tbl[[#This Row],[day]]="Fri",1,0)</f>
        <v>0</v>
      </c>
      <c r="K119">
        <f>IF(Encode_tbl[[#This Row],[day]]="Sat",1,0)</f>
        <v>0</v>
      </c>
      <c r="L119">
        <f>IF(Encode_tbl[[#This Row],[day]]="Sun",1,0)</f>
        <v>0</v>
      </c>
      <c r="M119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2.0711458941310763</v>
      </c>
      <c r="N119" s="6">
        <f>Encode_tbl[[#This Row],[tip]]-Encode_tbl[[#This Row],[predicted Tip]]</f>
        <v>-0.5711458941310763</v>
      </c>
      <c r="O119" s="6">
        <f>Encode_tbl[[#This Row],[error]]^2</f>
        <v>0.32620763238278661</v>
      </c>
      <c r="P119" s="7"/>
      <c r="Q119" s="7"/>
    </row>
    <row r="120" spans="1:17" x14ac:dyDescent="0.35">
      <c r="A120" t="s">
        <v>7</v>
      </c>
      <c r="B120" t="s">
        <v>8</v>
      </c>
      <c r="C120" t="s">
        <v>23</v>
      </c>
      <c r="D120" t="s">
        <v>24</v>
      </c>
      <c r="E120">
        <v>1.8</v>
      </c>
      <c r="F120">
        <v>2</v>
      </c>
      <c r="G120">
        <v>12.43</v>
      </c>
      <c r="H120">
        <f>IF(Encode_tbl[[#This Row],[sex]]="Male",1,0)</f>
        <v>0</v>
      </c>
      <c r="I120">
        <f>IF(Encode_tbl[[#This Row],[smoker]]="Yes",1,0)</f>
        <v>0</v>
      </c>
      <c r="J120">
        <f>IF(Encode_tbl[[#This Row],[day]]="Fri",1,0)</f>
        <v>0</v>
      </c>
      <c r="K120">
        <f>IF(Encode_tbl[[#This Row],[day]]="Sat",1,0)</f>
        <v>0</v>
      </c>
      <c r="L120">
        <f>IF(Encode_tbl[[#This Row],[day]]="Sun",1,0)</f>
        <v>0</v>
      </c>
      <c r="M120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2.2388829389467464</v>
      </c>
      <c r="N120" s="6">
        <f>Encode_tbl[[#This Row],[tip]]-Encode_tbl[[#This Row],[predicted Tip]]</f>
        <v>-0.43888293894674635</v>
      </c>
      <c r="O120" s="6">
        <f>Encode_tbl[[#This Row],[error]]^2</f>
        <v>0.19261823409853349</v>
      </c>
      <c r="P120" s="7"/>
      <c r="Q120" s="7"/>
    </row>
    <row r="121" spans="1:17" x14ac:dyDescent="0.35">
      <c r="A121" t="s">
        <v>7</v>
      </c>
      <c r="B121" t="s">
        <v>8</v>
      </c>
      <c r="C121" t="s">
        <v>23</v>
      </c>
      <c r="D121" t="s">
        <v>24</v>
      </c>
      <c r="E121">
        <v>2.92</v>
      </c>
      <c r="F121">
        <v>4</v>
      </c>
      <c r="G121">
        <v>24.08</v>
      </c>
      <c r="H121">
        <f>IF(Encode_tbl[[#This Row],[sex]]="Male",1,0)</f>
        <v>0</v>
      </c>
      <c r="I121">
        <f>IF(Encode_tbl[[#This Row],[smoker]]="Yes",1,0)</f>
        <v>0</v>
      </c>
      <c r="J121">
        <f>IF(Encode_tbl[[#This Row],[day]]="Fri",1,0)</f>
        <v>0</v>
      </c>
      <c r="K121">
        <f>IF(Encode_tbl[[#This Row],[day]]="Sat",1,0)</f>
        <v>0</v>
      </c>
      <c r="L121">
        <f>IF(Encode_tbl[[#This Row],[day]]="Sun",1,0)</f>
        <v>0</v>
      </c>
      <c r="M121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3.6909036764046395</v>
      </c>
      <c r="N121" s="6">
        <f>Encode_tbl[[#This Row],[tip]]-Encode_tbl[[#This Row],[predicted Tip]]</f>
        <v>-0.77090367640463953</v>
      </c>
      <c r="O121" s="6">
        <f>Encode_tbl[[#This Row],[error]]^2</f>
        <v>0.59429247829418919</v>
      </c>
      <c r="P121" s="7"/>
      <c r="Q121" s="7"/>
    </row>
    <row r="122" spans="1:17" x14ac:dyDescent="0.35">
      <c r="A122" t="s">
        <v>11</v>
      </c>
      <c r="B122" t="s">
        <v>8</v>
      </c>
      <c r="C122" t="s">
        <v>23</v>
      </c>
      <c r="D122" t="s">
        <v>24</v>
      </c>
      <c r="E122">
        <v>2.31</v>
      </c>
      <c r="F122">
        <v>2</v>
      </c>
      <c r="G122">
        <v>11.69</v>
      </c>
      <c r="H122">
        <f>IF(Encode_tbl[[#This Row],[sex]]="Male",1,0)</f>
        <v>1</v>
      </c>
      <c r="I122">
        <f>IF(Encode_tbl[[#This Row],[smoker]]="Yes",1,0)</f>
        <v>0</v>
      </c>
      <c r="J122">
        <f>IF(Encode_tbl[[#This Row],[day]]="Fri",1,0)</f>
        <v>0</v>
      </c>
      <c r="K122">
        <f>IF(Encode_tbl[[#This Row],[day]]="Sat",1,0)</f>
        <v>0</v>
      </c>
      <c r="L122">
        <f>IF(Encode_tbl[[#This Row],[day]]="Sun",1,0)</f>
        <v>0</v>
      </c>
      <c r="M122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2.1348492180621119</v>
      </c>
      <c r="N122" s="6">
        <f>Encode_tbl[[#This Row],[tip]]-Encode_tbl[[#This Row],[predicted Tip]]</f>
        <v>0.17515078193788813</v>
      </c>
      <c r="O122" s="6">
        <f>Encode_tbl[[#This Row],[error]]^2</f>
        <v>3.067779641345364E-2</v>
      </c>
      <c r="P122" s="7"/>
      <c r="Q122" s="7"/>
    </row>
    <row r="123" spans="1:17" x14ac:dyDescent="0.35">
      <c r="A123" t="s">
        <v>7</v>
      </c>
      <c r="B123" t="s">
        <v>8</v>
      </c>
      <c r="C123" t="s">
        <v>23</v>
      </c>
      <c r="D123" t="s">
        <v>24</v>
      </c>
      <c r="E123">
        <v>1.68</v>
      </c>
      <c r="F123">
        <v>2</v>
      </c>
      <c r="G123">
        <v>13.42</v>
      </c>
      <c r="H123">
        <f>IF(Encode_tbl[[#This Row],[sex]]="Male",1,0)</f>
        <v>0</v>
      </c>
      <c r="I123">
        <f>IF(Encode_tbl[[#This Row],[smoker]]="Yes",1,0)</f>
        <v>0</v>
      </c>
      <c r="J123">
        <f>IF(Encode_tbl[[#This Row],[day]]="Fri",1,0)</f>
        <v>0</v>
      </c>
      <c r="K123">
        <f>IF(Encode_tbl[[#This Row],[day]]="Sat",1,0)</f>
        <v>0</v>
      </c>
      <c r="L123">
        <f>IF(Encode_tbl[[#This Row],[day]]="Sun",1,0)</f>
        <v>0</v>
      </c>
      <c r="M123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2.3321748908386075</v>
      </c>
      <c r="N123" s="6">
        <f>Encode_tbl[[#This Row],[tip]]-Encode_tbl[[#This Row],[predicted Tip]]</f>
        <v>-0.65217489083860758</v>
      </c>
      <c r="O123" s="6">
        <f>Encode_tbl[[#This Row],[error]]^2</f>
        <v>0.42533208824034974</v>
      </c>
      <c r="P123" s="7"/>
      <c r="Q123" s="7"/>
    </row>
    <row r="124" spans="1:17" x14ac:dyDescent="0.35">
      <c r="A124" t="s">
        <v>11</v>
      </c>
      <c r="B124" t="s">
        <v>8</v>
      </c>
      <c r="C124" t="s">
        <v>23</v>
      </c>
      <c r="D124" t="s">
        <v>24</v>
      </c>
      <c r="E124">
        <v>2.5</v>
      </c>
      <c r="F124">
        <v>2</v>
      </c>
      <c r="G124">
        <v>14.26</v>
      </c>
      <c r="H124">
        <f>IF(Encode_tbl[[#This Row],[sex]]="Male",1,0)</f>
        <v>1</v>
      </c>
      <c r="I124">
        <f>IF(Encode_tbl[[#This Row],[smoker]]="Yes",1,0)</f>
        <v>0</v>
      </c>
      <c r="J124">
        <f>IF(Encode_tbl[[#This Row],[day]]="Fri",1,0)</f>
        <v>0</v>
      </c>
      <c r="K124">
        <f>IF(Encode_tbl[[#This Row],[day]]="Sat",1,0)</f>
        <v>0</v>
      </c>
      <c r="L124">
        <f>IF(Encode_tbl[[#This Row],[day]]="Sun",1,0)</f>
        <v>0</v>
      </c>
      <c r="M124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2.3770313558015901</v>
      </c>
      <c r="N124" s="6">
        <f>Encode_tbl[[#This Row],[tip]]-Encode_tbl[[#This Row],[predicted Tip]]</f>
        <v>0.12296864419840992</v>
      </c>
      <c r="O124" s="6">
        <f>Encode_tbl[[#This Row],[error]]^2</f>
        <v>1.5121287455995133E-2</v>
      </c>
      <c r="P124" s="7"/>
      <c r="Q124" s="7"/>
    </row>
    <row r="125" spans="1:17" x14ac:dyDescent="0.35">
      <c r="A125" t="s">
        <v>11</v>
      </c>
      <c r="B125" t="s">
        <v>8</v>
      </c>
      <c r="C125" t="s">
        <v>23</v>
      </c>
      <c r="D125" t="s">
        <v>24</v>
      </c>
      <c r="E125">
        <v>2</v>
      </c>
      <c r="F125">
        <v>2</v>
      </c>
      <c r="G125">
        <v>15.95</v>
      </c>
      <c r="H125">
        <f>IF(Encode_tbl[[#This Row],[sex]]="Male",1,0)</f>
        <v>1</v>
      </c>
      <c r="I125">
        <f>IF(Encode_tbl[[#This Row],[smoker]]="Yes",1,0)</f>
        <v>0</v>
      </c>
      <c r="J125">
        <f>IF(Encode_tbl[[#This Row],[day]]="Fri",1,0)</f>
        <v>0</v>
      </c>
      <c r="K125">
        <f>IF(Encode_tbl[[#This Row],[day]]="Sat",1,0)</f>
        <v>0</v>
      </c>
      <c r="L125">
        <f>IF(Encode_tbl[[#This Row],[day]]="Sun",1,0)</f>
        <v>0</v>
      </c>
      <c r="M125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2.5362873140816364</v>
      </c>
      <c r="N125" s="6">
        <f>Encode_tbl[[#This Row],[tip]]-Encode_tbl[[#This Row],[predicted Tip]]</f>
        <v>-0.53628731408163643</v>
      </c>
      <c r="O125" s="6">
        <f>Encode_tbl[[#This Row],[error]]^2</f>
        <v>0.28760408324489578</v>
      </c>
      <c r="P125" s="7"/>
      <c r="Q125" s="7"/>
    </row>
    <row r="126" spans="1:17" x14ac:dyDescent="0.35">
      <c r="A126" t="s">
        <v>7</v>
      </c>
      <c r="B126" t="s">
        <v>8</v>
      </c>
      <c r="C126" t="s">
        <v>23</v>
      </c>
      <c r="D126" t="s">
        <v>24</v>
      </c>
      <c r="E126">
        <v>2.52</v>
      </c>
      <c r="F126">
        <v>2</v>
      </c>
      <c r="G126">
        <v>12.48</v>
      </c>
      <c r="H126">
        <f>IF(Encode_tbl[[#This Row],[sex]]="Male",1,0)</f>
        <v>0</v>
      </c>
      <c r="I126">
        <f>IF(Encode_tbl[[#This Row],[smoker]]="Yes",1,0)</f>
        <v>0</v>
      </c>
      <c r="J126">
        <f>IF(Encode_tbl[[#This Row],[day]]="Fri",1,0)</f>
        <v>0</v>
      </c>
      <c r="K126">
        <f>IF(Encode_tbl[[#This Row],[day]]="Sat",1,0)</f>
        <v>0</v>
      </c>
      <c r="L126">
        <f>IF(Encode_tbl[[#This Row],[day]]="Sun",1,0)</f>
        <v>0</v>
      </c>
      <c r="M126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2.2435946536887594</v>
      </c>
      <c r="N126" s="6">
        <f>Encode_tbl[[#This Row],[tip]]-Encode_tbl[[#This Row],[predicted Tip]]</f>
        <v>0.27640534631124059</v>
      </c>
      <c r="O126" s="6">
        <f>Encode_tbl[[#This Row],[error]]^2</f>
        <v>7.6399915469436835E-2</v>
      </c>
      <c r="P126" s="7"/>
      <c r="Q126" s="7"/>
    </row>
    <row r="127" spans="1:17" x14ac:dyDescent="0.35">
      <c r="A127" t="s">
        <v>7</v>
      </c>
      <c r="B127" t="s">
        <v>8</v>
      </c>
      <c r="C127" t="s">
        <v>23</v>
      </c>
      <c r="D127" t="s">
        <v>24</v>
      </c>
      <c r="E127">
        <v>4.2</v>
      </c>
      <c r="F127">
        <v>6</v>
      </c>
      <c r="G127">
        <v>29.8</v>
      </c>
      <c r="H127">
        <f>IF(Encode_tbl[[#This Row],[sex]]="Male",1,0)</f>
        <v>0</v>
      </c>
      <c r="I127">
        <f>IF(Encode_tbl[[#This Row],[smoker]]="Yes",1,0)</f>
        <v>0</v>
      </c>
      <c r="J127">
        <f>IF(Encode_tbl[[#This Row],[day]]="Fri",1,0)</f>
        <v>0</v>
      </c>
      <c r="K127">
        <f>IF(Encode_tbl[[#This Row],[day]]="Sat",1,0)</f>
        <v>0</v>
      </c>
      <c r="L127">
        <f>IF(Encode_tbl[[#This Row],[day]]="Sun",1,0)</f>
        <v>0</v>
      </c>
      <c r="M127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4.5841150454597681</v>
      </c>
      <c r="N127" s="6">
        <f>Encode_tbl[[#This Row],[tip]]-Encode_tbl[[#This Row],[predicted Tip]]</f>
        <v>-0.38411504545976793</v>
      </c>
      <c r="O127" s="6">
        <f>Encode_tbl[[#This Row],[error]]^2</f>
        <v>0.14754436814855959</v>
      </c>
      <c r="P127" s="7"/>
      <c r="Q127" s="7"/>
    </row>
    <row r="128" spans="1:17" x14ac:dyDescent="0.35">
      <c r="A128" t="s">
        <v>11</v>
      </c>
      <c r="B128" t="s">
        <v>8</v>
      </c>
      <c r="C128" t="s">
        <v>23</v>
      </c>
      <c r="D128" t="s">
        <v>24</v>
      </c>
      <c r="E128">
        <v>1.48</v>
      </c>
      <c r="F128">
        <v>2</v>
      </c>
      <c r="G128">
        <v>8.52</v>
      </c>
      <c r="H128">
        <f>IF(Encode_tbl[[#This Row],[sex]]="Male",1,0)</f>
        <v>1</v>
      </c>
      <c r="I128">
        <f>IF(Encode_tbl[[#This Row],[smoker]]="Yes",1,0)</f>
        <v>0</v>
      </c>
      <c r="J128">
        <f>IF(Encode_tbl[[#This Row],[day]]="Fri",1,0)</f>
        <v>0</v>
      </c>
      <c r="K128">
        <f>IF(Encode_tbl[[#This Row],[day]]="Sat",1,0)</f>
        <v>0</v>
      </c>
      <c r="L128">
        <f>IF(Encode_tbl[[#This Row],[day]]="Sun",1,0)</f>
        <v>0</v>
      </c>
      <c r="M128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1.8361265034184746</v>
      </c>
      <c r="N128" s="6">
        <f>Encode_tbl[[#This Row],[tip]]-Encode_tbl[[#This Row],[predicted Tip]]</f>
        <v>-0.35612650341847463</v>
      </c>
      <c r="O128" s="6">
        <f>Encode_tbl[[#This Row],[error]]^2</f>
        <v>0.12682608643706883</v>
      </c>
      <c r="P128" s="7"/>
      <c r="Q128" s="7"/>
    </row>
    <row r="129" spans="1:17" x14ac:dyDescent="0.35">
      <c r="A129" t="s">
        <v>7</v>
      </c>
      <c r="B129" t="s">
        <v>8</v>
      </c>
      <c r="C129" t="s">
        <v>23</v>
      </c>
      <c r="D129" t="s">
        <v>24</v>
      </c>
      <c r="E129">
        <v>2</v>
      </c>
      <c r="F129">
        <v>2</v>
      </c>
      <c r="G129">
        <v>14.52</v>
      </c>
      <c r="H129">
        <f>IF(Encode_tbl[[#This Row],[sex]]="Male",1,0)</f>
        <v>0</v>
      </c>
      <c r="I129">
        <f>IF(Encode_tbl[[#This Row],[smoker]]="Yes",1,0)</f>
        <v>0</v>
      </c>
      <c r="J129">
        <f>IF(Encode_tbl[[#This Row],[day]]="Fri",1,0)</f>
        <v>0</v>
      </c>
      <c r="K129">
        <f>IF(Encode_tbl[[#This Row],[day]]="Sat",1,0)</f>
        <v>0</v>
      </c>
      <c r="L129">
        <f>IF(Encode_tbl[[#This Row],[day]]="Sun",1,0)</f>
        <v>0</v>
      </c>
      <c r="M129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2.435832615162898</v>
      </c>
      <c r="N129" s="6">
        <f>Encode_tbl[[#This Row],[tip]]-Encode_tbl[[#This Row],[predicted Tip]]</f>
        <v>-0.43583261516289795</v>
      </c>
      <c r="O129" s="6">
        <f>Encode_tbl[[#This Row],[error]]^2</f>
        <v>0.1899500684397307</v>
      </c>
      <c r="P129" s="7"/>
      <c r="Q129" s="7"/>
    </row>
    <row r="130" spans="1:17" x14ac:dyDescent="0.35">
      <c r="A130" t="s">
        <v>7</v>
      </c>
      <c r="B130" t="s">
        <v>8</v>
      </c>
      <c r="C130" t="s">
        <v>23</v>
      </c>
      <c r="D130" t="s">
        <v>24</v>
      </c>
      <c r="E130">
        <v>2</v>
      </c>
      <c r="F130">
        <v>2</v>
      </c>
      <c r="G130">
        <v>11.38</v>
      </c>
      <c r="H130">
        <f>IF(Encode_tbl[[#This Row],[sex]]="Male",1,0)</f>
        <v>0</v>
      </c>
      <c r="I130">
        <f>IF(Encode_tbl[[#This Row],[smoker]]="Yes",1,0)</f>
        <v>0</v>
      </c>
      <c r="J130">
        <f>IF(Encode_tbl[[#This Row],[day]]="Fri",1,0)</f>
        <v>0</v>
      </c>
      <c r="K130">
        <f>IF(Encode_tbl[[#This Row],[day]]="Sat",1,0)</f>
        <v>0</v>
      </c>
      <c r="L130">
        <f>IF(Encode_tbl[[#This Row],[day]]="Sun",1,0)</f>
        <v>0</v>
      </c>
      <c r="M130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2.139936929364469</v>
      </c>
      <c r="N130" s="6">
        <f>Encode_tbl[[#This Row],[tip]]-Encode_tbl[[#This Row],[predicted Tip]]</f>
        <v>-0.139936929364469</v>
      </c>
      <c r="O130" s="6">
        <f>Encode_tbl[[#This Row],[error]]^2</f>
        <v>1.9582344199956386E-2</v>
      </c>
      <c r="P130" s="7"/>
      <c r="Q130" s="7"/>
    </row>
    <row r="131" spans="1:17" x14ac:dyDescent="0.35">
      <c r="A131" t="s">
        <v>11</v>
      </c>
      <c r="B131" t="s">
        <v>8</v>
      </c>
      <c r="C131" t="s">
        <v>23</v>
      </c>
      <c r="D131" t="s">
        <v>24</v>
      </c>
      <c r="E131">
        <v>2.1800000000000002</v>
      </c>
      <c r="F131">
        <v>3</v>
      </c>
      <c r="G131">
        <v>22.82</v>
      </c>
      <c r="H131">
        <f>IF(Encode_tbl[[#This Row],[sex]]="Male",1,0)</f>
        <v>1</v>
      </c>
      <c r="I131">
        <f>IF(Encode_tbl[[#This Row],[smoker]]="Yes",1,0)</f>
        <v>0</v>
      </c>
      <c r="J131">
        <f>IF(Encode_tbl[[#This Row],[day]]="Fri",1,0)</f>
        <v>0</v>
      </c>
      <c r="K131">
        <f>IF(Encode_tbl[[#This Row],[day]]="Sat",1,0)</f>
        <v>0</v>
      </c>
      <c r="L131">
        <f>IF(Encode_tbl[[#This Row],[day]]="Sun",1,0)</f>
        <v>0</v>
      </c>
      <c r="M131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3.3607725209186596</v>
      </c>
      <c r="N131" s="6">
        <f>Encode_tbl[[#This Row],[tip]]-Encode_tbl[[#This Row],[predicted Tip]]</f>
        <v>-1.1807725209186595</v>
      </c>
      <c r="O131" s="6">
        <f>Encode_tbl[[#This Row],[error]]^2</f>
        <v>1.394223746156606</v>
      </c>
      <c r="P131" s="7"/>
      <c r="Q131" s="7"/>
    </row>
    <row r="132" spans="1:17" x14ac:dyDescent="0.35">
      <c r="A132" t="s">
        <v>11</v>
      </c>
      <c r="B132" t="s">
        <v>8</v>
      </c>
      <c r="C132" t="s">
        <v>23</v>
      </c>
      <c r="D132" t="s">
        <v>24</v>
      </c>
      <c r="E132">
        <v>1.5</v>
      </c>
      <c r="F132">
        <v>2</v>
      </c>
      <c r="G132">
        <v>19.079999999999998</v>
      </c>
      <c r="H132">
        <f>IF(Encode_tbl[[#This Row],[sex]]="Male",1,0)</f>
        <v>1</v>
      </c>
      <c r="I132">
        <f>IF(Encode_tbl[[#This Row],[smoker]]="Yes",1,0)</f>
        <v>0</v>
      </c>
      <c r="J132">
        <f>IF(Encode_tbl[[#This Row],[day]]="Fri",1,0)</f>
        <v>0</v>
      </c>
      <c r="K132">
        <f>IF(Encode_tbl[[#This Row],[day]]="Sat",1,0)</f>
        <v>0</v>
      </c>
      <c r="L132">
        <f>IF(Encode_tbl[[#This Row],[day]]="Sun",1,0)</f>
        <v>0</v>
      </c>
      <c r="M132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2.831240656931663</v>
      </c>
      <c r="N132" s="6">
        <f>Encode_tbl[[#This Row],[tip]]-Encode_tbl[[#This Row],[predicted Tip]]</f>
        <v>-1.331240656931663</v>
      </c>
      <c r="O132" s="6">
        <f>Encode_tbl[[#This Row],[error]]^2</f>
        <v>1.7722016866678458</v>
      </c>
      <c r="P132" s="7"/>
      <c r="Q132" s="7"/>
    </row>
    <row r="133" spans="1:17" x14ac:dyDescent="0.35">
      <c r="A133" t="s">
        <v>7</v>
      </c>
      <c r="B133" t="s">
        <v>8</v>
      </c>
      <c r="C133" t="s">
        <v>23</v>
      </c>
      <c r="D133" t="s">
        <v>24</v>
      </c>
      <c r="E133">
        <v>2.83</v>
      </c>
      <c r="F133">
        <v>2</v>
      </c>
      <c r="G133">
        <v>20.27</v>
      </c>
      <c r="H133">
        <f>IF(Encode_tbl[[#This Row],[sex]]="Male",1,0)</f>
        <v>0</v>
      </c>
      <c r="I133">
        <f>IF(Encode_tbl[[#This Row],[smoker]]="Yes",1,0)</f>
        <v>0</v>
      </c>
      <c r="J133">
        <f>IF(Encode_tbl[[#This Row],[day]]="Fri",1,0)</f>
        <v>0</v>
      </c>
      <c r="K133">
        <f>IF(Encode_tbl[[#This Row],[day]]="Sat",1,0)</f>
        <v>0</v>
      </c>
      <c r="L133">
        <f>IF(Encode_tbl[[#This Row],[day]]="Sun",1,0)</f>
        <v>0</v>
      </c>
      <c r="M133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2.9776798104944167</v>
      </c>
      <c r="N133" s="6">
        <f>Encode_tbl[[#This Row],[tip]]-Encode_tbl[[#This Row],[predicted Tip]]</f>
        <v>-0.14767981049441659</v>
      </c>
      <c r="O133" s="6">
        <f>Encode_tbl[[#This Row],[error]]^2</f>
        <v>2.1809326427666795E-2</v>
      </c>
      <c r="P133" s="7"/>
      <c r="Q133" s="7"/>
    </row>
    <row r="134" spans="1:17" x14ac:dyDescent="0.35">
      <c r="A134" t="s">
        <v>7</v>
      </c>
      <c r="B134" t="s">
        <v>8</v>
      </c>
      <c r="C134" t="s">
        <v>23</v>
      </c>
      <c r="D134" t="s">
        <v>24</v>
      </c>
      <c r="E134">
        <v>1.5</v>
      </c>
      <c r="F134">
        <v>2</v>
      </c>
      <c r="G134">
        <v>11.17</v>
      </c>
      <c r="H134">
        <f>IF(Encode_tbl[[#This Row],[sex]]="Male",1,0)</f>
        <v>0</v>
      </c>
      <c r="I134">
        <f>IF(Encode_tbl[[#This Row],[smoker]]="Yes",1,0)</f>
        <v>0</v>
      </c>
      <c r="J134">
        <f>IF(Encode_tbl[[#This Row],[day]]="Fri",1,0)</f>
        <v>0</v>
      </c>
      <c r="K134">
        <f>IF(Encode_tbl[[#This Row],[day]]="Sat",1,0)</f>
        <v>0</v>
      </c>
      <c r="L134">
        <f>IF(Encode_tbl[[#This Row],[day]]="Sun",1,0)</f>
        <v>0</v>
      </c>
      <c r="M134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2.1201477274480132</v>
      </c>
      <c r="N134" s="6">
        <f>Encode_tbl[[#This Row],[tip]]-Encode_tbl[[#This Row],[predicted Tip]]</f>
        <v>-0.62014772744801316</v>
      </c>
      <c r="O134" s="6">
        <f>Encode_tbl[[#This Row],[error]]^2</f>
        <v>0.38458320385893524</v>
      </c>
      <c r="P134" s="7"/>
      <c r="Q134" s="7"/>
    </row>
    <row r="135" spans="1:17" x14ac:dyDescent="0.35">
      <c r="A135" t="s">
        <v>7</v>
      </c>
      <c r="B135" t="s">
        <v>8</v>
      </c>
      <c r="C135" t="s">
        <v>23</v>
      </c>
      <c r="D135" t="s">
        <v>24</v>
      </c>
      <c r="E135">
        <v>2</v>
      </c>
      <c r="F135">
        <v>2</v>
      </c>
      <c r="G135">
        <v>12.26</v>
      </c>
      <c r="H135">
        <f>IF(Encode_tbl[[#This Row],[sex]]="Male",1,0)</f>
        <v>0</v>
      </c>
      <c r="I135">
        <f>IF(Encode_tbl[[#This Row],[smoker]]="Yes",1,0)</f>
        <v>0</v>
      </c>
      <c r="J135">
        <f>IF(Encode_tbl[[#This Row],[day]]="Fri",1,0)</f>
        <v>0</v>
      </c>
      <c r="K135">
        <f>IF(Encode_tbl[[#This Row],[day]]="Sat",1,0)</f>
        <v>0</v>
      </c>
      <c r="L135">
        <f>IF(Encode_tbl[[#This Row],[day]]="Sun",1,0)</f>
        <v>0</v>
      </c>
      <c r="M135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2.2228631088239013</v>
      </c>
      <c r="N135" s="6">
        <f>Encode_tbl[[#This Row],[tip]]-Encode_tbl[[#This Row],[predicted Tip]]</f>
        <v>-0.22286310882390126</v>
      </c>
      <c r="O135" s="6">
        <f>Encode_tbl[[#This Row],[error]]^2</f>
        <v>4.9667965274654051E-2</v>
      </c>
      <c r="P135" s="7"/>
      <c r="Q135" s="7"/>
    </row>
    <row r="136" spans="1:17" x14ac:dyDescent="0.35">
      <c r="A136" t="s">
        <v>7</v>
      </c>
      <c r="B136" t="s">
        <v>8</v>
      </c>
      <c r="C136" t="s">
        <v>23</v>
      </c>
      <c r="D136" t="s">
        <v>24</v>
      </c>
      <c r="E136">
        <v>3.25</v>
      </c>
      <c r="F136">
        <v>2</v>
      </c>
      <c r="G136">
        <v>18.260000000000002</v>
      </c>
      <c r="H136">
        <f>IF(Encode_tbl[[#This Row],[sex]]="Male",1,0)</f>
        <v>0</v>
      </c>
      <c r="I136">
        <f>IF(Encode_tbl[[#This Row],[smoker]]="Yes",1,0)</f>
        <v>0</v>
      </c>
      <c r="J136">
        <f>IF(Encode_tbl[[#This Row],[day]]="Fri",1,0)</f>
        <v>0</v>
      </c>
      <c r="K136">
        <f>IF(Encode_tbl[[#This Row],[day]]="Sat",1,0)</f>
        <v>0</v>
      </c>
      <c r="L136">
        <f>IF(Encode_tbl[[#This Row],[day]]="Sun",1,0)</f>
        <v>0</v>
      </c>
      <c r="M136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2.7882688778654856</v>
      </c>
      <c r="N136" s="6">
        <f>Encode_tbl[[#This Row],[tip]]-Encode_tbl[[#This Row],[predicted Tip]]</f>
        <v>0.46173112213451439</v>
      </c>
      <c r="O136" s="6">
        <f>Encode_tbl[[#This Row],[error]]^2</f>
        <v>0.21319562914759785</v>
      </c>
      <c r="P136" s="7"/>
      <c r="Q136" s="7"/>
    </row>
    <row r="137" spans="1:17" x14ac:dyDescent="0.35">
      <c r="A137" t="s">
        <v>7</v>
      </c>
      <c r="B137" t="s">
        <v>8</v>
      </c>
      <c r="C137" t="s">
        <v>23</v>
      </c>
      <c r="D137" t="s">
        <v>24</v>
      </c>
      <c r="E137">
        <v>1.25</v>
      </c>
      <c r="F137">
        <v>2</v>
      </c>
      <c r="G137">
        <v>8.51</v>
      </c>
      <c r="H137">
        <f>IF(Encode_tbl[[#This Row],[sex]]="Male",1,0)</f>
        <v>0</v>
      </c>
      <c r="I137">
        <f>IF(Encode_tbl[[#This Row],[smoker]]="Yes",1,0)</f>
        <v>0</v>
      </c>
      <c r="J137">
        <f>IF(Encode_tbl[[#This Row],[day]]="Fri",1,0)</f>
        <v>0</v>
      </c>
      <c r="K137">
        <f>IF(Encode_tbl[[#This Row],[day]]="Sat",1,0)</f>
        <v>0</v>
      </c>
      <c r="L137">
        <f>IF(Encode_tbl[[#This Row],[day]]="Sun",1,0)</f>
        <v>0</v>
      </c>
      <c r="M137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1.8694845031729108</v>
      </c>
      <c r="N137" s="6">
        <f>Encode_tbl[[#This Row],[tip]]-Encode_tbl[[#This Row],[predicted Tip]]</f>
        <v>-0.61948450317291082</v>
      </c>
      <c r="O137" s="6">
        <f>Encode_tbl[[#This Row],[error]]^2</f>
        <v>0.38376104967138813</v>
      </c>
      <c r="P137" s="7"/>
      <c r="Q137" s="7"/>
    </row>
    <row r="138" spans="1:17" x14ac:dyDescent="0.35">
      <c r="A138" t="s">
        <v>7</v>
      </c>
      <c r="B138" t="s">
        <v>8</v>
      </c>
      <c r="C138" t="s">
        <v>23</v>
      </c>
      <c r="D138" t="s">
        <v>24</v>
      </c>
      <c r="E138">
        <v>2</v>
      </c>
      <c r="F138">
        <v>2</v>
      </c>
      <c r="G138">
        <v>10.33</v>
      </c>
      <c r="H138">
        <f>IF(Encode_tbl[[#This Row],[sex]]="Male",1,0)</f>
        <v>0</v>
      </c>
      <c r="I138">
        <f>IF(Encode_tbl[[#This Row],[smoker]]="Yes",1,0)</f>
        <v>0</v>
      </c>
      <c r="J138">
        <f>IF(Encode_tbl[[#This Row],[day]]="Fri",1,0)</f>
        <v>0</v>
      </c>
      <c r="K138">
        <f>IF(Encode_tbl[[#This Row],[day]]="Sat",1,0)</f>
        <v>0</v>
      </c>
      <c r="L138">
        <f>IF(Encode_tbl[[#This Row],[day]]="Sun",1,0)</f>
        <v>0</v>
      </c>
      <c r="M138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2.0409909197821916</v>
      </c>
      <c r="N138" s="6">
        <f>Encode_tbl[[#This Row],[tip]]-Encode_tbl[[#This Row],[predicted Tip]]</f>
        <v>-4.0990919782191604E-2</v>
      </c>
      <c r="O138" s="6">
        <f>Encode_tbl[[#This Row],[error]]^2</f>
        <v>1.6802555045900671E-3</v>
      </c>
      <c r="P138" s="7"/>
      <c r="Q138" s="7"/>
    </row>
    <row r="139" spans="1:17" x14ac:dyDescent="0.35">
      <c r="A139" t="s">
        <v>7</v>
      </c>
      <c r="B139" t="s">
        <v>8</v>
      </c>
      <c r="C139" t="s">
        <v>23</v>
      </c>
      <c r="D139" t="s">
        <v>24</v>
      </c>
      <c r="E139">
        <v>2</v>
      </c>
      <c r="F139">
        <v>2</v>
      </c>
      <c r="G139">
        <v>14.15</v>
      </c>
      <c r="H139">
        <f>IF(Encode_tbl[[#This Row],[sex]]="Male",1,0)</f>
        <v>0</v>
      </c>
      <c r="I139">
        <f>IF(Encode_tbl[[#This Row],[smoker]]="Yes",1,0)</f>
        <v>0</v>
      </c>
      <c r="J139">
        <f>IF(Encode_tbl[[#This Row],[day]]="Fri",1,0)</f>
        <v>0</v>
      </c>
      <c r="K139">
        <f>IF(Encode_tbl[[#This Row],[day]]="Sat",1,0)</f>
        <v>0</v>
      </c>
      <c r="L139">
        <f>IF(Encode_tbl[[#This Row],[day]]="Sun",1,0)</f>
        <v>0</v>
      </c>
      <c r="M139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2.4009659260720007</v>
      </c>
      <c r="N139" s="6">
        <f>Encode_tbl[[#This Row],[tip]]-Encode_tbl[[#This Row],[predicted Tip]]</f>
        <v>-0.40096592607200066</v>
      </c>
      <c r="O139" s="6">
        <f>Encode_tbl[[#This Row],[error]]^2</f>
        <v>0.1607736738707771</v>
      </c>
      <c r="P139" s="7"/>
      <c r="Q139" s="7"/>
    </row>
    <row r="140" spans="1:17" x14ac:dyDescent="0.35">
      <c r="A140" t="s">
        <v>11</v>
      </c>
      <c r="B140" t="s">
        <v>22</v>
      </c>
      <c r="C140" t="s">
        <v>23</v>
      </c>
      <c r="D140" t="s">
        <v>24</v>
      </c>
      <c r="E140">
        <v>2</v>
      </c>
      <c r="F140">
        <v>2</v>
      </c>
      <c r="G140">
        <v>16</v>
      </c>
      <c r="H140">
        <f>IF(Encode_tbl[[#This Row],[sex]]="Male",1,0)</f>
        <v>1</v>
      </c>
      <c r="I140">
        <f>IF(Encode_tbl[[#This Row],[smoker]]="Yes",1,0)</f>
        <v>1</v>
      </c>
      <c r="J140">
        <f>IF(Encode_tbl[[#This Row],[day]]="Fri",1,0)</f>
        <v>0</v>
      </c>
      <c r="K140">
        <f>IF(Encode_tbl[[#This Row],[day]]="Sat",1,0)</f>
        <v>0</v>
      </c>
      <c r="L140">
        <f>IF(Encode_tbl[[#This Row],[day]]="Sun",1,0)</f>
        <v>0</v>
      </c>
      <c r="M140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2.4593055861236714</v>
      </c>
      <c r="N140" s="6">
        <f>Encode_tbl[[#This Row],[tip]]-Encode_tbl[[#This Row],[predicted Tip]]</f>
        <v>-0.45930558612367145</v>
      </c>
      <c r="O140" s="6">
        <f>Encode_tbl[[#This Row],[error]]^2</f>
        <v>0.21096162144440936</v>
      </c>
      <c r="P140" s="7"/>
      <c r="Q140" s="7"/>
    </row>
    <row r="141" spans="1:17" x14ac:dyDescent="0.35">
      <c r="A141" t="s">
        <v>7</v>
      </c>
      <c r="B141" t="s">
        <v>8</v>
      </c>
      <c r="C141" t="s">
        <v>23</v>
      </c>
      <c r="D141" t="s">
        <v>24</v>
      </c>
      <c r="E141">
        <v>2.75</v>
      </c>
      <c r="F141">
        <v>2</v>
      </c>
      <c r="G141">
        <v>13.16</v>
      </c>
      <c r="H141">
        <f>IF(Encode_tbl[[#This Row],[sex]]="Male",1,0)</f>
        <v>0</v>
      </c>
      <c r="I141">
        <f>IF(Encode_tbl[[#This Row],[smoker]]="Yes",1,0)</f>
        <v>0</v>
      </c>
      <c r="J141">
        <f>IF(Encode_tbl[[#This Row],[day]]="Fri",1,0)</f>
        <v>0</v>
      </c>
      <c r="K141">
        <f>IF(Encode_tbl[[#This Row],[day]]="Sat",1,0)</f>
        <v>0</v>
      </c>
      <c r="L141">
        <f>IF(Encode_tbl[[#This Row],[day]]="Sun",1,0)</f>
        <v>0</v>
      </c>
      <c r="M141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2.3076739741801386</v>
      </c>
      <c r="N141" s="6">
        <f>Encode_tbl[[#This Row],[tip]]-Encode_tbl[[#This Row],[predicted Tip]]</f>
        <v>0.44232602581986136</v>
      </c>
      <c r="O141" s="6">
        <f>Encode_tbl[[#This Row],[error]]^2</f>
        <v>0.19565231311759265</v>
      </c>
      <c r="P141" s="7"/>
      <c r="Q141" s="7"/>
    </row>
    <row r="142" spans="1:17" x14ac:dyDescent="0.35">
      <c r="A142" t="s">
        <v>7</v>
      </c>
      <c r="B142" t="s">
        <v>8</v>
      </c>
      <c r="C142" t="s">
        <v>23</v>
      </c>
      <c r="D142" t="s">
        <v>24</v>
      </c>
      <c r="E142">
        <v>3.5</v>
      </c>
      <c r="F142">
        <v>2</v>
      </c>
      <c r="G142">
        <v>17.47</v>
      </c>
      <c r="H142">
        <f>IF(Encode_tbl[[#This Row],[sex]]="Male",1,0)</f>
        <v>0</v>
      </c>
      <c r="I142">
        <f>IF(Encode_tbl[[#This Row],[smoker]]="Yes",1,0)</f>
        <v>0</v>
      </c>
      <c r="J142">
        <f>IF(Encode_tbl[[#This Row],[day]]="Fri",1,0)</f>
        <v>0</v>
      </c>
      <c r="K142">
        <f>IF(Encode_tbl[[#This Row],[day]]="Sat",1,0)</f>
        <v>0</v>
      </c>
      <c r="L142">
        <f>IF(Encode_tbl[[#This Row],[day]]="Sun",1,0)</f>
        <v>0</v>
      </c>
      <c r="M142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2.7138237849416771</v>
      </c>
      <c r="N142" s="6">
        <f>Encode_tbl[[#This Row],[tip]]-Encode_tbl[[#This Row],[predicted Tip]]</f>
        <v>0.78617621505832291</v>
      </c>
      <c r="O142" s="6">
        <f>Encode_tbl[[#This Row],[error]]^2</f>
        <v>0.61807304112343042</v>
      </c>
      <c r="P142" s="7"/>
      <c r="Q142" s="7"/>
    </row>
    <row r="143" spans="1:17" x14ac:dyDescent="0.35">
      <c r="A143" t="s">
        <v>11</v>
      </c>
      <c r="B143" t="s">
        <v>8</v>
      </c>
      <c r="C143" t="s">
        <v>23</v>
      </c>
      <c r="D143" t="s">
        <v>24</v>
      </c>
      <c r="E143">
        <v>6.7</v>
      </c>
      <c r="F143">
        <v>6</v>
      </c>
      <c r="G143">
        <v>34.299999999999997</v>
      </c>
      <c r="H143">
        <f>IF(Encode_tbl[[#This Row],[sex]]="Male",1,0)</f>
        <v>1</v>
      </c>
      <c r="I143">
        <f>IF(Encode_tbl[[#This Row],[smoker]]="Yes",1,0)</f>
        <v>0</v>
      </c>
      <c r="J143">
        <f>IF(Encode_tbl[[#This Row],[day]]="Fri",1,0)</f>
        <v>0</v>
      </c>
      <c r="K143">
        <f>IF(Encode_tbl[[#This Row],[day]]="Sat",1,0)</f>
        <v>0</v>
      </c>
      <c r="L143">
        <f>IF(Encode_tbl[[#This Row],[day]]="Sun",1,0)</f>
        <v>0</v>
      </c>
      <c r="M143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4.9738690295381156</v>
      </c>
      <c r="N143" s="6">
        <f>Encode_tbl[[#This Row],[tip]]-Encode_tbl[[#This Row],[predicted Tip]]</f>
        <v>1.7261309704618846</v>
      </c>
      <c r="O143" s="6">
        <f>Encode_tbl[[#This Row],[error]]^2</f>
        <v>2.9795281271876872</v>
      </c>
      <c r="P143" s="7"/>
      <c r="Q143" s="7"/>
    </row>
    <row r="144" spans="1:17" x14ac:dyDescent="0.35">
      <c r="A144" t="s">
        <v>11</v>
      </c>
      <c r="B144" t="s">
        <v>8</v>
      </c>
      <c r="C144" t="s">
        <v>23</v>
      </c>
      <c r="D144" t="s">
        <v>24</v>
      </c>
      <c r="E144">
        <v>5</v>
      </c>
      <c r="F144">
        <v>5</v>
      </c>
      <c r="G144">
        <v>41.19</v>
      </c>
      <c r="H144">
        <f>IF(Encode_tbl[[#This Row],[sex]]="Male",1,0)</f>
        <v>1</v>
      </c>
      <c r="I144">
        <f>IF(Encode_tbl[[#This Row],[smoker]]="Yes",1,0)</f>
        <v>0</v>
      </c>
      <c r="J144">
        <f>IF(Encode_tbl[[#This Row],[day]]="Fri",1,0)</f>
        <v>0</v>
      </c>
      <c r="K144">
        <f>IF(Encode_tbl[[#This Row],[day]]="Sat",1,0)</f>
        <v>0</v>
      </c>
      <c r="L144">
        <f>IF(Encode_tbl[[#This Row],[day]]="Sun",1,0)</f>
        <v>0</v>
      </c>
      <c r="M144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5.4460477197031274</v>
      </c>
      <c r="N144" s="6">
        <f>Encode_tbl[[#This Row],[tip]]-Encode_tbl[[#This Row],[predicted Tip]]</f>
        <v>-0.4460477197031274</v>
      </c>
      <c r="O144" s="6">
        <f>Encode_tbl[[#This Row],[error]]^2</f>
        <v>0.19895856825235972</v>
      </c>
      <c r="P144" s="7"/>
      <c r="Q144" s="7"/>
    </row>
    <row r="145" spans="1:17" x14ac:dyDescent="0.35">
      <c r="A145" t="s">
        <v>7</v>
      </c>
      <c r="B145" t="s">
        <v>8</v>
      </c>
      <c r="C145" t="s">
        <v>23</v>
      </c>
      <c r="D145" t="s">
        <v>24</v>
      </c>
      <c r="E145">
        <v>5</v>
      </c>
      <c r="F145">
        <v>6</v>
      </c>
      <c r="G145">
        <v>27.05</v>
      </c>
      <c r="H145">
        <f>IF(Encode_tbl[[#This Row],[sex]]="Male",1,0)</f>
        <v>0</v>
      </c>
      <c r="I145">
        <f>IF(Encode_tbl[[#This Row],[smoker]]="Yes",1,0)</f>
        <v>0</v>
      </c>
      <c r="J145">
        <f>IF(Encode_tbl[[#This Row],[day]]="Fri",1,0)</f>
        <v>0</v>
      </c>
      <c r="K145">
        <f>IF(Encode_tbl[[#This Row],[day]]="Sat",1,0)</f>
        <v>0</v>
      </c>
      <c r="L145">
        <f>IF(Encode_tbl[[#This Row],[day]]="Sun",1,0)</f>
        <v>0</v>
      </c>
      <c r="M145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4.3249707346490416</v>
      </c>
      <c r="N145" s="6">
        <f>Encode_tbl[[#This Row],[tip]]-Encode_tbl[[#This Row],[predicted Tip]]</f>
        <v>0.67502926535095842</v>
      </c>
      <c r="O145" s="6">
        <f>Encode_tbl[[#This Row],[error]]^2</f>
        <v>0.45566450908025463</v>
      </c>
      <c r="P145" s="7"/>
      <c r="Q145" s="7"/>
    </row>
    <row r="146" spans="1:17" x14ac:dyDescent="0.35">
      <c r="A146" t="s">
        <v>7</v>
      </c>
      <c r="B146" t="s">
        <v>8</v>
      </c>
      <c r="C146" t="s">
        <v>23</v>
      </c>
      <c r="D146" t="s">
        <v>24</v>
      </c>
      <c r="E146">
        <v>2.2999999999999998</v>
      </c>
      <c r="F146">
        <v>2</v>
      </c>
      <c r="G146">
        <v>16.43</v>
      </c>
      <c r="H146">
        <f>IF(Encode_tbl[[#This Row],[sex]]="Male",1,0)</f>
        <v>0</v>
      </c>
      <c r="I146">
        <f>IF(Encode_tbl[[#This Row],[smoker]]="Yes",1,0)</f>
        <v>0</v>
      </c>
      <c r="J146">
        <f>IF(Encode_tbl[[#This Row],[day]]="Fri",1,0)</f>
        <v>0</v>
      </c>
      <c r="K146">
        <f>IF(Encode_tbl[[#This Row],[day]]="Sat",1,0)</f>
        <v>0</v>
      </c>
      <c r="L146">
        <f>IF(Encode_tbl[[#This Row],[day]]="Sun",1,0)</f>
        <v>0</v>
      </c>
      <c r="M146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2.6158201183078025</v>
      </c>
      <c r="N146" s="6">
        <f>Encode_tbl[[#This Row],[tip]]-Encode_tbl[[#This Row],[predicted Tip]]</f>
        <v>-0.31582011830780266</v>
      </c>
      <c r="O146" s="6">
        <f>Encode_tbl[[#This Row],[error]]^2</f>
        <v>9.9742347127954462E-2</v>
      </c>
      <c r="P146" s="7"/>
      <c r="Q146" s="7"/>
    </row>
    <row r="147" spans="1:17" x14ac:dyDescent="0.35">
      <c r="A147" t="s">
        <v>7</v>
      </c>
      <c r="B147" t="s">
        <v>8</v>
      </c>
      <c r="C147" t="s">
        <v>23</v>
      </c>
      <c r="D147" t="s">
        <v>24</v>
      </c>
      <c r="E147">
        <v>1.5</v>
      </c>
      <c r="F147">
        <v>2</v>
      </c>
      <c r="G147">
        <v>8.35</v>
      </c>
      <c r="H147">
        <f>IF(Encode_tbl[[#This Row],[sex]]="Male",1,0)</f>
        <v>0</v>
      </c>
      <c r="I147">
        <f>IF(Encode_tbl[[#This Row],[smoker]]="Yes",1,0)</f>
        <v>0</v>
      </c>
      <c r="J147">
        <f>IF(Encode_tbl[[#This Row],[day]]="Fri",1,0)</f>
        <v>0</v>
      </c>
      <c r="K147">
        <f>IF(Encode_tbl[[#This Row],[day]]="Sat",1,0)</f>
        <v>0</v>
      </c>
      <c r="L147">
        <f>IF(Encode_tbl[[#This Row],[day]]="Sun",1,0)</f>
        <v>0</v>
      </c>
      <c r="M147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1.8544070159984687</v>
      </c>
      <c r="N147" s="6">
        <f>Encode_tbl[[#This Row],[tip]]-Encode_tbl[[#This Row],[predicted Tip]]</f>
        <v>-0.35440701599846869</v>
      </c>
      <c r="O147" s="6">
        <f>Encode_tbl[[#This Row],[error]]^2</f>
        <v>0.12560433298893883</v>
      </c>
      <c r="P147" s="7"/>
      <c r="Q147" s="7"/>
    </row>
    <row r="148" spans="1:17" x14ac:dyDescent="0.35">
      <c r="A148" t="s">
        <v>7</v>
      </c>
      <c r="B148" t="s">
        <v>8</v>
      </c>
      <c r="C148" t="s">
        <v>23</v>
      </c>
      <c r="D148" t="s">
        <v>24</v>
      </c>
      <c r="E148">
        <v>1.36</v>
      </c>
      <c r="F148">
        <v>3</v>
      </c>
      <c r="G148">
        <v>18.64</v>
      </c>
      <c r="H148">
        <f>IF(Encode_tbl[[#This Row],[sex]]="Male",1,0)</f>
        <v>0</v>
      </c>
      <c r="I148">
        <f>IF(Encode_tbl[[#This Row],[smoker]]="Yes",1,0)</f>
        <v>0</v>
      </c>
      <c r="J148">
        <f>IF(Encode_tbl[[#This Row],[day]]="Fri",1,0)</f>
        <v>0</v>
      </c>
      <c r="K148">
        <f>IF(Encode_tbl[[#This Row],[day]]="Sat",1,0)</f>
        <v>0</v>
      </c>
      <c r="L148">
        <f>IF(Encode_tbl[[#This Row],[day]]="Sun",1,0)</f>
        <v>0</v>
      </c>
      <c r="M148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3.0011735111891946</v>
      </c>
      <c r="N148" s="6">
        <f>Encode_tbl[[#This Row],[tip]]-Encode_tbl[[#This Row],[predicted Tip]]</f>
        <v>-1.6411735111891945</v>
      </c>
      <c r="O148" s="6">
        <f>Encode_tbl[[#This Row],[error]]^2</f>
        <v>2.6934504938290691</v>
      </c>
      <c r="P148" s="7"/>
      <c r="Q148" s="7"/>
    </row>
    <row r="149" spans="1:17" x14ac:dyDescent="0.35">
      <c r="A149" t="s">
        <v>7</v>
      </c>
      <c r="B149" t="s">
        <v>8</v>
      </c>
      <c r="C149" t="s">
        <v>23</v>
      </c>
      <c r="D149" t="s">
        <v>24</v>
      </c>
      <c r="E149">
        <v>1.63</v>
      </c>
      <c r="F149">
        <v>2</v>
      </c>
      <c r="G149">
        <v>11.87</v>
      </c>
      <c r="H149">
        <f>IF(Encode_tbl[[#This Row],[sex]]="Male",1,0)</f>
        <v>0</v>
      </c>
      <c r="I149">
        <f>IF(Encode_tbl[[#This Row],[smoker]]="Yes",1,0)</f>
        <v>0</v>
      </c>
      <c r="J149">
        <f>IF(Encode_tbl[[#This Row],[day]]="Fri",1,0)</f>
        <v>0</v>
      </c>
      <c r="K149">
        <f>IF(Encode_tbl[[#This Row],[day]]="Sat",1,0)</f>
        <v>0</v>
      </c>
      <c r="L149">
        <f>IF(Encode_tbl[[#This Row],[day]]="Sun",1,0)</f>
        <v>0</v>
      </c>
      <c r="M149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2.1861117338361984</v>
      </c>
      <c r="N149" s="6">
        <f>Encode_tbl[[#This Row],[tip]]-Encode_tbl[[#This Row],[predicted Tip]]</f>
        <v>-0.5561117338361985</v>
      </c>
      <c r="O149" s="6">
        <f>Encode_tbl[[#This Row],[error]]^2</f>
        <v>0.30926026051030286</v>
      </c>
      <c r="P149" s="7"/>
      <c r="Q149" s="7"/>
    </row>
    <row r="150" spans="1:17" x14ac:dyDescent="0.35">
      <c r="A150" t="s">
        <v>11</v>
      </c>
      <c r="B150" t="s">
        <v>8</v>
      </c>
      <c r="C150" t="s">
        <v>23</v>
      </c>
      <c r="D150" t="s">
        <v>24</v>
      </c>
      <c r="E150">
        <v>1.73</v>
      </c>
      <c r="F150">
        <v>2</v>
      </c>
      <c r="G150">
        <v>9.7799999999999994</v>
      </c>
      <c r="H150">
        <f>IF(Encode_tbl[[#This Row],[sex]]="Male",1,0)</f>
        <v>1</v>
      </c>
      <c r="I150">
        <f>IF(Encode_tbl[[#This Row],[smoker]]="Yes",1,0)</f>
        <v>0</v>
      </c>
      <c r="J150">
        <f>IF(Encode_tbl[[#This Row],[day]]="Fri",1,0)</f>
        <v>0</v>
      </c>
      <c r="K150">
        <f>IF(Encode_tbl[[#This Row],[day]]="Sat",1,0)</f>
        <v>0</v>
      </c>
      <c r="L150">
        <f>IF(Encode_tbl[[#This Row],[day]]="Sun",1,0)</f>
        <v>0</v>
      </c>
      <c r="M150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1.9548617149172074</v>
      </c>
      <c r="N150" s="6">
        <f>Encode_tbl[[#This Row],[tip]]-Encode_tbl[[#This Row],[predicted Tip]]</f>
        <v>-0.22486171491720741</v>
      </c>
      <c r="O150" s="6">
        <f>Encode_tbl[[#This Row],[error]]^2</f>
        <v>5.0562790835507458E-2</v>
      </c>
      <c r="P150" s="7"/>
      <c r="Q150" s="7"/>
    </row>
    <row r="151" spans="1:17" x14ac:dyDescent="0.35">
      <c r="A151" t="s">
        <v>11</v>
      </c>
      <c r="B151" t="s">
        <v>8</v>
      </c>
      <c r="C151" t="s">
        <v>23</v>
      </c>
      <c r="D151" t="s">
        <v>24</v>
      </c>
      <c r="E151">
        <v>2</v>
      </c>
      <c r="F151">
        <v>2</v>
      </c>
      <c r="G151">
        <v>7.51</v>
      </c>
      <c r="H151">
        <f>IF(Encode_tbl[[#This Row],[sex]]="Male",1,0)</f>
        <v>1</v>
      </c>
      <c r="I151">
        <f>IF(Encode_tbl[[#This Row],[smoker]]="Yes",1,0)</f>
        <v>0</v>
      </c>
      <c r="J151">
        <f>IF(Encode_tbl[[#This Row],[day]]="Fri",1,0)</f>
        <v>0</v>
      </c>
      <c r="K151">
        <f>IF(Encode_tbl[[#This Row],[day]]="Sat",1,0)</f>
        <v>0</v>
      </c>
      <c r="L151">
        <f>IF(Encode_tbl[[#This Row],[day]]="Sun",1,0)</f>
        <v>0</v>
      </c>
      <c r="M151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1.7409498656298079</v>
      </c>
      <c r="N151" s="6">
        <f>Encode_tbl[[#This Row],[tip]]-Encode_tbl[[#This Row],[predicted Tip]]</f>
        <v>0.25905013437019209</v>
      </c>
      <c r="O151" s="6">
        <f>Encode_tbl[[#This Row],[error]]^2</f>
        <v>6.7106972117214572E-2</v>
      </c>
      <c r="P151" s="7"/>
      <c r="Q151" s="7"/>
    </row>
    <row r="152" spans="1:17" x14ac:dyDescent="0.35">
      <c r="A152" t="s">
        <v>11</v>
      </c>
      <c r="B152" t="s">
        <v>8</v>
      </c>
      <c r="C152" t="s">
        <v>9</v>
      </c>
      <c r="D152" t="s">
        <v>10</v>
      </c>
      <c r="E152">
        <v>2.5</v>
      </c>
      <c r="F152">
        <v>2</v>
      </c>
      <c r="G152">
        <v>14.07</v>
      </c>
      <c r="H152">
        <f>IF(Encode_tbl[[#This Row],[sex]]="Male",1,0)</f>
        <v>1</v>
      </c>
      <c r="I152">
        <f>IF(Encode_tbl[[#This Row],[smoker]]="Yes",1,0)</f>
        <v>0</v>
      </c>
      <c r="J152">
        <f>IF(Encode_tbl[[#This Row],[day]]="Fri",1,0)</f>
        <v>0</v>
      </c>
      <c r="K152">
        <f>IF(Encode_tbl[[#This Row],[day]]="Sat",1,0)</f>
        <v>0</v>
      </c>
      <c r="L152">
        <f>IF(Encode_tbl[[#This Row],[day]]="Sun",1,0)</f>
        <v>1</v>
      </c>
      <c r="M152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2.4266183121941234</v>
      </c>
      <c r="N152" s="6">
        <f>Encode_tbl[[#This Row],[tip]]-Encode_tbl[[#This Row],[predicted Tip]]</f>
        <v>7.3381687805876616E-2</v>
      </c>
      <c r="O152" s="6">
        <f>Encode_tbl[[#This Row],[error]]^2</f>
        <v>5.3848721052391409E-3</v>
      </c>
      <c r="P152" s="7"/>
      <c r="Q152" s="7"/>
    </row>
    <row r="153" spans="1:17" x14ac:dyDescent="0.35">
      <c r="A153" t="s">
        <v>11</v>
      </c>
      <c r="B153" t="s">
        <v>8</v>
      </c>
      <c r="C153" t="s">
        <v>9</v>
      </c>
      <c r="D153" t="s">
        <v>10</v>
      </c>
      <c r="E153">
        <v>2</v>
      </c>
      <c r="F153">
        <v>2</v>
      </c>
      <c r="G153">
        <v>13.13</v>
      </c>
      <c r="H153">
        <f>IF(Encode_tbl[[#This Row],[sex]]="Male",1,0)</f>
        <v>1</v>
      </c>
      <c r="I153">
        <f>IF(Encode_tbl[[#This Row],[smoker]]="Yes",1,0)</f>
        <v>0</v>
      </c>
      <c r="J153">
        <f>IF(Encode_tbl[[#This Row],[day]]="Fri",1,0)</f>
        <v>0</v>
      </c>
      <c r="K153">
        <f>IF(Encode_tbl[[#This Row],[day]]="Sat",1,0)</f>
        <v>0</v>
      </c>
      <c r="L153">
        <f>IF(Encode_tbl[[#This Row],[day]]="Sun",1,0)</f>
        <v>1</v>
      </c>
      <c r="M153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2.3380380750442753</v>
      </c>
      <c r="N153" s="6">
        <f>Encode_tbl[[#This Row],[tip]]-Encode_tbl[[#This Row],[predicted Tip]]</f>
        <v>-0.3380380750442753</v>
      </c>
      <c r="O153" s="6">
        <f>Encode_tbl[[#This Row],[error]]^2</f>
        <v>0.1142697401796391</v>
      </c>
      <c r="P153" s="7"/>
      <c r="Q153" s="7"/>
    </row>
    <row r="154" spans="1:17" x14ac:dyDescent="0.35">
      <c r="A154" t="s">
        <v>11</v>
      </c>
      <c r="B154" t="s">
        <v>8</v>
      </c>
      <c r="C154" t="s">
        <v>9</v>
      </c>
      <c r="D154" t="s">
        <v>10</v>
      </c>
      <c r="E154">
        <v>2.74</v>
      </c>
      <c r="F154">
        <v>3</v>
      </c>
      <c r="G154">
        <v>17.260000000000002</v>
      </c>
      <c r="H154">
        <f>IF(Encode_tbl[[#This Row],[sex]]="Male",1,0)</f>
        <v>1</v>
      </c>
      <c r="I154">
        <f>IF(Encode_tbl[[#This Row],[smoker]]="Yes",1,0)</f>
        <v>0</v>
      </c>
      <c r="J154">
        <f>IF(Encode_tbl[[#This Row],[day]]="Fri",1,0)</f>
        <v>0</v>
      </c>
      <c r="K154">
        <f>IF(Encode_tbl[[#This Row],[day]]="Sat",1,0)</f>
        <v>0</v>
      </c>
      <c r="L154">
        <f>IF(Encode_tbl[[#This Row],[day]]="Sun",1,0)</f>
        <v>1</v>
      </c>
      <c r="M154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2.9043213140189743</v>
      </c>
      <c r="N154" s="6">
        <f>Encode_tbl[[#This Row],[tip]]-Encode_tbl[[#This Row],[predicted Tip]]</f>
        <v>-0.1643213140189741</v>
      </c>
      <c r="O154" s="6">
        <f>Encode_tbl[[#This Row],[error]]^2</f>
        <v>2.7001494240922293E-2</v>
      </c>
      <c r="P154" s="7"/>
      <c r="Q154" s="7"/>
    </row>
    <row r="155" spans="1:17" x14ac:dyDescent="0.35">
      <c r="A155" t="s">
        <v>11</v>
      </c>
      <c r="B155" t="s">
        <v>8</v>
      </c>
      <c r="C155" t="s">
        <v>9</v>
      </c>
      <c r="D155" t="s">
        <v>10</v>
      </c>
      <c r="E155">
        <v>2</v>
      </c>
      <c r="F155">
        <v>4</v>
      </c>
      <c r="G155">
        <v>24.55</v>
      </c>
      <c r="H155">
        <f>IF(Encode_tbl[[#This Row],[sex]]="Male",1,0)</f>
        <v>1</v>
      </c>
      <c r="I155">
        <f>IF(Encode_tbl[[#This Row],[smoker]]="Yes",1,0)</f>
        <v>0</v>
      </c>
      <c r="J155">
        <f>IF(Encode_tbl[[#This Row],[day]]="Fri",1,0)</f>
        <v>0</v>
      </c>
      <c r="K155">
        <f>IF(Encode_tbl[[#This Row],[day]]="Sat",1,0)</f>
        <v>0</v>
      </c>
      <c r="L155">
        <f>IF(Encode_tbl[[#This Row],[day]]="Sun",1,0)</f>
        <v>1</v>
      </c>
      <c r="M155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3.7683849246889078</v>
      </c>
      <c r="N155" s="6">
        <f>Encode_tbl[[#This Row],[tip]]-Encode_tbl[[#This Row],[predicted Tip]]</f>
        <v>-1.7683849246889078</v>
      </c>
      <c r="O155" s="6">
        <f>Encode_tbl[[#This Row],[error]]^2</f>
        <v>3.1271852418669943</v>
      </c>
      <c r="P155" s="7"/>
      <c r="Q155" s="7"/>
    </row>
    <row r="156" spans="1:17" x14ac:dyDescent="0.35">
      <c r="A156" t="s">
        <v>11</v>
      </c>
      <c r="B156" t="s">
        <v>8</v>
      </c>
      <c r="C156" t="s">
        <v>9</v>
      </c>
      <c r="D156" t="s">
        <v>10</v>
      </c>
      <c r="E156">
        <v>2</v>
      </c>
      <c r="F156">
        <v>4</v>
      </c>
      <c r="G156">
        <v>19.77</v>
      </c>
      <c r="H156">
        <f>IF(Encode_tbl[[#This Row],[sex]]="Male",1,0)</f>
        <v>1</v>
      </c>
      <c r="I156">
        <f>IF(Encode_tbl[[#This Row],[smoker]]="Yes",1,0)</f>
        <v>0</v>
      </c>
      <c r="J156">
        <f>IF(Encode_tbl[[#This Row],[day]]="Fri",1,0)</f>
        <v>0</v>
      </c>
      <c r="K156">
        <f>IF(Encode_tbl[[#This Row],[day]]="Sat",1,0)</f>
        <v>0</v>
      </c>
      <c r="L156">
        <f>IF(Encode_tbl[[#This Row],[day]]="Sun",1,0)</f>
        <v>1</v>
      </c>
      <c r="M156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3.3179449953524456</v>
      </c>
      <c r="N156" s="6">
        <f>Encode_tbl[[#This Row],[tip]]-Encode_tbl[[#This Row],[predicted Tip]]</f>
        <v>-1.3179449953524456</v>
      </c>
      <c r="O156" s="6">
        <f>Encode_tbl[[#This Row],[error]]^2</f>
        <v>1.7369790107745577</v>
      </c>
      <c r="P156" s="7"/>
      <c r="Q156" s="7"/>
    </row>
    <row r="157" spans="1:17" x14ac:dyDescent="0.35">
      <c r="A157" t="s">
        <v>7</v>
      </c>
      <c r="B157" t="s">
        <v>8</v>
      </c>
      <c r="C157" t="s">
        <v>9</v>
      </c>
      <c r="D157" t="s">
        <v>10</v>
      </c>
      <c r="E157">
        <v>5.14</v>
      </c>
      <c r="F157">
        <v>5</v>
      </c>
      <c r="G157">
        <v>29.85</v>
      </c>
      <c r="H157">
        <f>IF(Encode_tbl[[#This Row],[sex]]="Male",1,0)</f>
        <v>0</v>
      </c>
      <c r="I157">
        <f>IF(Encode_tbl[[#This Row],[smoker]]="Yes",1,0)</f>
        <v>0</v>
      </c>
      <c r="J157">
        <f>IF(Encode_tbl[[#This Row],[day]]="Fri",1,0)</f>
        <v>0</v>
      </c>
      <c r="K157">
        <f>IF(Encode_tbl[[#This Row],[day]]="Sat",1,0)</f>
        <v>0</v>
      </c>
      <c r="L157">
        <f>IF(Encode_tbl[[#This Row],[day]]="Sun",1,0)</f>
        <v>1</v>
      </c>
      <c r="M157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4.4792226313295558</v>
      </c>
      <c r="N157" s="6">
        <f>Encode_tbl[[#This Row],[tip]]-Encode_tbl[[#This Row],[predicted Tip]]</f>
        <v>0.6607773686704439</v>
      </c>
      <c r="O157" s="6">
        <f>Encode_tbl[[#This Row],[error]]^2</f>
        <v>0.43662673094703575</v>
      </c>
      <c r="P157" s="7"/>
      <c r="Q157" s="7"/>
    </row>
    <row r="158" spans="1:17" x14ac:dyDescent="0.35">
      <c r="A158" t="s">
        <v>11</v>
      </c>
      <c r="B158" t="s">
        <v>8</v>
      </c>
      <c r="C158" t="s">
        <v>9</v>
      </c>
      <c r="D158" t="s">
        <v>10</v>
      </c>
      <c r="E158">
        <v>5</v>
      </c>
      <c r="F158">
        <v>6</v>
      </c>
      <c r="G158">
        <v>48.17</v>
      </c>
      <c r="H158">
        <f>IF(Encode_tbl[[#This Row],[sex]]="Male",1,0)</f>
        <v>1</v>
      </c>
      <c r="I158">
        <f>IF(Encode_tbl[[#This Row],[smoker]]="Yes",1,0)</f>
        <v>0</v>
      </c>
      <c r="J158">
        <f>IF(Encode_tbl[[#This Row],[day]]="Fri",1,0)</f>
        <v>0</v>
      </c>
      <c r="K158">
        <f>IF(Encode_tbl[[#This Row],[day]]="Sat",1,0)</f>
        <v>0</v>
      </c>
      <c r="L158">
        <f>IF(Encode_tbl[[#This Row],[day]]="Sun",1,0)</f>
        <v>1</v>
      </c>
      <c r="M158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6.3483901713847626</v>
      </c>
      <c r="N158" s="6">
        <f>Encode_tbl[[#This Row],[tip]]-Encode_tbl[[#This Row],[predicted Tip]]</f>
        <v>-1.3483901713847626</v>
      </c>
      <c r="O158" s="6">
        <f>Encode_tbl[[#This Row],[error]]^2</f>
        <v>1.8181560542870294</v>
      </c>
      <c r="P158" s="7"/>
      <c r="Q158" s="7"/>
    </row>
    <row r="159" spans="1:17" x14ac:dyDescent="0.35">
      <c r="A159" t="s">
        <v>7</v>
      </c>
      <c r="B159" t="s">
        <v>8</v>
      </c>
      <c r="C159" t="s">
        <v>9</v>
      </c>
      <c r="D159" t="s">
        <v>10</v>
      </c>
      <c r="E159">
        <v>3.75</v>
      </c>
      <c r="F159">
        <v>4</v>
      </c>
      <c r="G159">
        <v>25</v>
      </c>
      <c r="H159">
        <f>IF(Encode_tbl[[#This Row],[sex]]="Male",1,0)</f>
        <v>0</v>
      </c>
      <c r="I159">
        <f>IF(Encode_tbl[[#This Row],[smoker]]="Yes",1,0)</f>
        <v>0</v>
      </c>
      <c r="J159">
        <f>IF(Encode_tbl[[#This Row],[day]]="Fri",1,0)</f>
        <v>0</v>
      </c>
      <c r="K159">
        <f>IF(Encode_tbl[[#This Row],[day]]="Sat",1,0)</f>
        <v>0</v>
      </c>
      <c r="L159">
        <f>IF(Encode_tbl[[#This Row],[day]]="Sun",1,0)</f>
        <v>1</v>
      </c>
      <c r="M159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3.8450907000698655</v>
      </c>
      <c r="N159" s="6">
        <f>Encode_tbl[[#This Row],[tip]]-Encode_tbl[[#This Row],[predicted Tip]]</f>
        <v>-9.509070006986553E-2</v>
      </c>
      <c r="O159" s="6">
        <f>Encode_tbl[[#This Row],[error]]^2</f>
        <v>9.0422412397771247E-3</v>
      </c>
      <c r="P159" s="7"/>
      <c r="Q159" s="7"/>
    </row>
    <row r="160" spans="1:17" x14ac:dyDescent="0.35">
      <c r="A160" t="s">
        <v>7</v>
      </c>
      <c r="B160" t="s">
        <v>8</v>
      </c>
      <c r="C160" t="s">
        <v>9</v>
      </c>
      <c r="D160" t="s">
        <v>10</v>
      </c>
      <c r="E160">
        <v>2.61</v>
      </c>
      <c r="F160">
        <v>2</v>
      </c>
      <c r="G160">
        <v>13.39</v>
      </c>
      <c r="H160">
        <f>IF(Encode_tbl[[#This Row],[sex]]="Male",1,0)</f>
        <v>0</v>
      </c>
      <c r="I160">
        <f>IF(Encode_tbl[[#This Row],[smoker]]="Yes",1,0)</f>
        <v>0</v>
      </c>
      <c r="J160">
        <f>IF(Encode_tbl[[#This Row],[day]]="Fri",1,0)</f>
        <v>0</v>
      </c>
      <c r="K160">
        <f>IF(Encode_tbl[[#This Row],[day]]="Sat",1,0)</f>
        <v>0</v>
      </c>
      <c r="L160">
        <f>IF(Encode_tbl[[#This Row],[day]]="Sun",1,0)</f>
        <v>1</v>
      </c>
      <c r="M160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2.3968393344055827</v>
      </c>
      <c r="N160" s="6">
        <f>Encode_tbl[[#This Row],[tip]]-Encode_tbl[[#This Row],[predicted Tip]]</f>
        <v>0.21316066559441715</v>
      </c>
      <c r="O160" s="6">
        <f>Encode_tbl[[#This Row],[error]]^2</f>
        <v>4.5437469356654936E-2</v>
      </c>
      <c r="P160" s="7"/>
      <c r="Q160" s="7"/>
    </row>
    <row r="161" spans="1:17" x14ac:dyDescent="0.35">
      <c r="A161" t="s">
        <v>11</v>
      </c>
      <c r="B161" t="s">
        <v>8</v>
      </c>
      <c r="C161" t="s">
        <v>9</v>
      </c>
      <c r="D161" t="s">
        <v>10</v>
      </c>
      <c r="E161">
        <v>2</v>
      </c>
      <c r="F161">
        <v>4</v>
      </c>
      <c r="G161">
        <v>16.489999999999998</v>
      </c>
      <c r="H161">
        <f>IF(Encode_tbl[[#This Row],[sex]]="Male",1,0)</f>
        <v>1</v>
      </c>
      <c r="I161">
        <f>IF(Encode_tbl[[#This Row],[smoker]]="Yes",1,0)</f>
        <v>0</v>
      </c>
      <c r="J161">
        <f>IF(Encode_tbl[[#This Row],[day]]="Fri",1,0)</f>
        <v>0</v>
      </c>
      <c r="K161">
        <f>IF(Encode_tbl[[#This Row],[day]]="Sat",1,0)</f>
        <v>0</v>
      </c>
      <c r="L161">
        <f>IF(Encode_tbl[[#This Row],[day]]="Sun",1,0)</f>
        <v>1</v>
      </c>
      <c r="M161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3.0088565082763794</v>
      </c>
      <c r="N161" s="6">
        <f>Encode_tbl[[#This Row],[tip]]-Encode_tbl[[#This Row],[predicted Tip]]</f>
        <v>-1.0088565082763794</v>
      </c>
      <c r="O161" s="6">
        <f>Encode_tbl[[#This Row],[error]]^2</f>
        <v>1.0177914542916084</v>
      </c>
      <c r="P161" s="7"/>
      <c r="Q161" s="7"/>
    </row>
    <row r="162" spans="1:17" x14ac:dyDescent="0.35">
      <c r="A162" t="s">
        <v>11</v>
      </c>
      <c r="B162" t="s">
        <v>8</v>
      </c>
      <c r="C162" t="s">
        <v>9</v>
      </c>
      <c r="D162" t="s">
        <v>10</v>
      </c>
      <c r="E162">
        <v>3.5</v>
      </c>
      <c r="F162">
        <v>4</v>
      </c>
      <c r="G162">
        <v>21.5</v>
      </c>
      <c r="H162">
        <f>IF(Encode_tbl[[#This Row],[sex]]="Male",1,0)</f>
        <v>1</v>
      </c>
      <c r="I162">
        <f>IF(Encode_tbl[[#This Row],[smoker]]="Yes",1,0)</f>
        <v>0</v>
      </c>
      <c r="J162">
        <f>IF(Encode_tbl[[#This Row],[day]]="Fri",1,0)</f>
        <v>0</v>
      </c>
      <c r="K162">
        <f>IF(Encode_tbl[[#This Row],[day]]="Sat",1,0)</f>
        <v>0</v>
      </c>
      <c r="L162">
        <f>IF(Encode_tbl[[#This Row],[day]]="Sun",1,0)</f>
        <v>1</v>
      </c>
      <c r="M162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3.4809703254261031</v>
      </c>
      <c r="N162" s="6">
        <f>Encode_tbl[[#This Row],[tip]]-Encode_tbl[[#This Row],[predicted Tip]]</f>
        <v>1.9029674573896926E-2</v>
      </c>
      <c r="O162" s="6">
        <f>Encode_tbl[[#This Row],[error]]^2</f>
        <v>3.6212851438841915E-4</v>
      </c>
      <c r="P162" s="7"/>
      <c r="Q162" s="7"/>
    </row>
    <row r="163" spans="1:17" x14ac:dyDescent="0.35">
      <c r="A163" t="s">
        <v>11</v>
      </c>
      <c r="B163" t="s">
        <v>8</v>
      </c>
      <c r="C163" t="s">
        <v>9</v>
      </c>
      <c r="D163" t="s">
        <v>10</v>
      </c>
      <c r="E163">
        <v>2.5</v>
      </c>
      <c r="F163">
        <v>2</v>
      </c>
      <c r="G163">
        <v>12.66</v>
      </c>
      <c r="H163">
        <f>IF(Encode_tbl[[#This Row],[sex]]="Male",1,0)</f>
        <v>1</v>
      </c>
      <c r="I163">
        <f>IF(Encode_tbl[[#This Row],[smoker]]="Yes",1,0)</f>
        <v>0</v>
      </c>
      <c r="J163">
        <f>IF(Encode_tbl[[#This Row],[day]]="Fri",1,0)</f>
        <v>0</v>
      </c>
      <c r="K163">
        <f>IF(Encode_tbl[[#This Row],[day]]="Sat",1,0)</f>
        <v>0</v>
      </c>
      <c r="L163">
        <f>IF(Encode_tbl[[#This Row],[day]]="Sun",1,0)</f>
        <v>1</v>
      </c>
      <c r="M163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2.293747956469351</v>
      </c>
      <c r="N163" s="6">
        <f>Encode_tbl[[#This Row],[tip]]-Encode_tbl[[#This Row],[predicted Tip]]</f>
        <v>0.20625204353064897</v>
      </c>
      <c r="O163" s="6">
        <f>Encode_tbl[[#This Row],[error]]^2</f>
        <v>4.2539905460568718E-2</v>
      </c>
      <c r="P163" s="7"/>
      <c r="Q163" s="7"/>
    </row>
    <row r="164" spans="1:17" x14ac:dyDescent="0.35">
      <c r="A164" t="s">
        <v>7</v>
      </c>
      <c r="B164" t="s">
        <v>8</v>
      </c>
      <c r="C164" t="s">
        <v>9</v>
      </c>
      <c r="D164" t="s">
        <v>10</v>
      </c>
      <c r="E164">
        <v>2</v>
      </c>
      <c r="F164">
        <v>3</v>
      </c>
      <c r="G164">
        <v>16.21</v>
      </c>
      <c r="H164">
        <f>IF(Encode_tbl[[#This Row],[sex]]="Male",1,0)</f>
        <v>0</v>
      </c>
      <c r="I164">
        <f>IF(Encode_tbl[[#This Row],[smoker]]="Yes",1,0)</f>
        <v>0</v>
      </c>
      <c r="J164">
        <f>IF(Encode_tbl[[#This Row],[day]]="Fri",1,0)</f>
        <v>0</v>
      </c>
      <c r="K164">
        <f>IF(Encode_tbl[[#This Row],[day]]="Sat",1,0)</f>
        <v>0</v>
      </c>
      <c r="L164">
        <f>IF(Encode_tbl[[#This Row],[day]]="Sun",1,0)</f>
        <v>1</v>
      </c>
      <c r="M164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2.8396756471395359</v>
      </c>
      <c r="N164" s="6">
        <f>Encode_tbl[[#This Row],[tip]]-Encode_tbl[[#This Row],[predicted Tip]]</f>
        <v>-0.83967564713953591</v>
      </c>
      <c r="O164" s="6">
        <f>Encode_tbl[[#This Row],[error]]^2</f>
        <v>0.70505519239919845</v>
      </c>
      <c r="P164" s="7"/>
      <c r="Q164" s="7"/>
    </row>
    <row r="165" spans="1:17" x14ac:dyDescent="0.35">
      <c r="A165" t="s">
        <v>11</v>
      </c>
      <c r="B165" t="s">
        <v>8</v>
      </c>
      <c r="C165" t="s">
        <v>9</v>
      </c>
      <c r="D165" t="s">
        <v>10</v>
      </c>
      <c r="E165">
        <v>2</v>
      </c>
      <c r="F165">
        <v>2</v>
      </c>
      <c r="G165">
        <v>13.81</v>
      </c>
      <c r="H165">
        <f>IF(Encode_tbl[[#This Row],[sex]]="Male",1,0)</f>
        <v>1</v>
      </c>
      <c r="I165">
        <f>IF(Encode_tbl[[#This Row],[smoker]]="Yes",1,0)</f>
        <v>0</v>
      </c>
      <c r="J165">
        <f>IF(Encode_tbl[[#This Row],[day]]="Fri",1,0)</f>
        <v>0</v>
      </c>
      <c r="K165">
        <f>IF(Encode_tbl[[#This Row],[day]]="Sat",1,0)</f>
        <v>0</v>
      </c>
      <c r="L165">
        <f>IF(Encode_tbl[[#This Row],[day]]="Sun",1,0)</f>
        <v>1</v>
      </c>
      <c r="M165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2.4021173955356545</v>
      </c>
      <c r="N165" s="6">
        <f>Encode_tbl[[#This Row],[tip]]-Encode_tbl[[#This Row],[predicted Tip]]</f>
        <v>-0.40211739553565451</v>
      </c>
      <c r="O165" s="6">
        <f>Encode_tbl[[#This Row],[error]]^2</f>
        <v>0.16169839979237802</v>
      </c>
      <c r="P165" s="7"/>
      <c r="Q165" s="7"/>
    </row>
    <row r="166" spans="1:17" x14ac:dyDescent="0.35">
      <c r="A166" t="s">
        <v>7</v>
      </c>
      <c r="B166" t="s">
        <v>22</v>
      </c>
      <c r="C166" t="s">
        <v>9</v>
      </c>
      <c r="D166" t="s">
        <v>10</v>
      </c>
      <c r="E166">
        <v>3</v>
      </c>
      <c r="F166">
        <v>2</v>
      </c>
      <c r="G166">
        <v>17.510000000000002</v>
      </c>
      <c r="H166">
        <f>IF(Encode_tbl[[#This Row],[sex]]="Male",1,0)</f>
        <v>0</v>
      </c>
      <c r="I166">
        <f>IF(Encode_tbl[[#This Row],[smoker]]="Yes",1,0)</f>
        <v>1</v>
      </c>
      <c r="J166">
        <f>IF(Encode_tbl[[#This Row],[day]]="Fri",1,0)</f>
        <v>0</v>
      </c>
      <c r="K166">
        <f>IF(Encode_tbl[[#This Row],[day]]="Sat",1,0)</f>
        <v>0</v>
      </c>
      <c r="L166">
        <f>IF(Encode_tbl[[#This Row],[day]]="Sun",1,0)</f>
        <v>1</v>
      </c>
      <c r="M166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2.7033911864474924</v>
      </c>
      <c r="N166" s="6">
        <f>Encode_tbl[[#This Row],[tip]]-Encode_tbl[[#This Row],[predicted Tip]]</f>
        <v>0.29660881355250757</v>
      </c>
      <c r="O166" s="6">
        <f>Encode_tbl[[#This Row],[error]]^2</f>
        <v>8.7976788277026194E-2</v>
      </c>
      <c r="P166" s="7"/>
      <c r="Q166" s="7"/>
    </row>
    <row r="167" spans="1:17" x14ac:dyDescent="0.35">
      <c r="A167" t="s">
        <v>11</v>
      </c>
      <c r="B167" t="s">
        <v>8</v>
      </c>
      <c r="C167" t="s">
        <v>9</v>
      </c>
      <c r="D167" t="s">
        <v>10</v>
      </c>
      <c r="E167">
        <v>3.48</v>
      </c>
      <c r="F167">
        <v>3</v>
      </c>
      <c r="G167">
        <v>24.52</v>
      </c>
      <c r="H167">
        <f>IF(Encode_tbl[[#This Row],[sex]]="Male",1,0)</f>
        <v>1</v>
      </c>
      <c r="I167">
        <f>IF(Encode_tbl[[#This Row],[smoker]]="Yes",1,0)</f>
        <v>0</v>
      </c>
      <c r="J167">
        <f>IF(Encode_tbl[[#This Row],[day]]="Fri",1,0)</f>
        <v>0</v>
      </c>
      <c r="K167">
        <f>IF(Encode_tbl[[#This Row],[day]]="Sat",1,0)</f>
        <v>0</v>
      </c>
      <c r="L167">
        <f>IF(Encode_tbl[[#This Row],[day]]="Sun",1,0)</f>
        <v>1</v>
      </c>
      <c r="M167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3.5884622945592914</v>
      </c>
      <c r="N167" s="6">
        <f>Encode_tbl[[#This Row],[tip]]-Encode_tbl[[#This Row],[predicted Tip]]</f>
        <v>-0.10846229455929146</v>
      </c>
      <c r="O167" s="6">
        <f>Encode_tbl[[#This Row],[error]]^2</f>
        <v>1.1764069341066507E-2</v>
      </c>
      <c r="P167" s="7"/>
      <c r="Q167" s="7"/>
    </row>
    <row r="168" spans="1:17" x14ac:dyDescent="0.35">
      <c r="A168" t="s">
        <v>11</v>
      </c>
      <c r="B168" t="s">
        <v>8</v>
      </c>
      <c r="C168" t="s">
        <v>9</v>
      </c>
      <c r="D168" t="s">
        <v>10</v>
      </c>
      <c r="E168">
        <v>2.2400000000000002</v>
      </c>
      <c r="F168">
        <v>2</v>
      </c>
      <c r="G168">
        <v>20.76</v>
      </c>
      <c r="H168">
        <f>IF(Encode_tbl[[#This Row],[sex]]="Male",1,0)</f>
        <v>1</v>
      </c>
      <c r="I168">
        <f>IF(Encode_tbl[[#This Row],[smoker]]="Yes",1,0)</f>
        <v>0</v>
      </c>
      <c r="J168">
        <f>IF(Encode_tbl[[#This Row],[day]]="Fri",1,0)</f>
        <v>0</v>
      </c>
      <c r="K168">
        <f>IF(Encode_tbl[[#This Row],[day]]="Sat",1,0)</f>
        <v>0</v>
      </c>
      <c r="L168">
        <f>IF(Encode_tbl[[#This Row],[day]]="Sun",1,0)</f>
        <v>1</v>
      </c>
      <c r="M168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3.0570457446754902</v>
      </c>
      <c r="N168" s="6">
        <f>Encode_tbl[[#This Row],[tip]]-Encode_tbl[[#This Row],[predicted Tip]]</f>
        <v>-0.81704574467548996</v>
      </c>
      <c r="O168" s="6">
        <f>Encode_tbl[[#This Row],[error]]^2</f>
        <v>0.66756374889232595</v>
      </c>
      <c r="P168" s="7"/>
      <c r="Q168" s="7"/>
    </row>
    <row r="169" spans="1:17" x14ac:dyDescent="0.35">
      <c r="A169" t="s">
        <v>11</v>
      </c>
      <c r="B169" t="s">
        <v>8</v>
      </c>
      <c r="C169" t="s">
        <v>9</v>
      </c>
      <c r="D169" t="s">
        <v>10</v>
      </c>
      <c r="E169">
        <v>4.5</v>
      </c>
      <c r="F169">
        <v>4</v>
      </c>
      <c r="G169">
        <v>31.71</v>
      </c>
      <c r="H169">
        <f>IF(Encode_tbl[[#This Row],[sex]]="Male",1,0)</f>
        <v>1</v>
      </c>
      <c r="I169">
        <f>IF(Encode_tbl[[#This Row],[smoker]]="Yes",1,0)</f>
        <v>0</v>
      </c>
      <c r="J169">
        <f>IF(Encode_tbl[[#This Row],[day]]="Fri",1,0)</f>
        <v>0</v>
      </c>
      <c r="K169">
        <f>IF(Encode_tbl[[#This Row],[day]]="Sat",1,0)</f>
        <v>0</v>
      </c>
      <c r="L169">
        <f>IF(Encode_tbl[[#This Row],[day]]="Sun",1,0)</f>
        <v>1</v>
      </c>
      <c r="M169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4.4431024757451993</v>
      </c>
      <c r="N169" s="6">
        <f>Encode_tbl[[#This Row],[tip]]-Encode_tbl[[#This Row],[predicted Tip]]</f>
        <v>5.6897524254800658E-2</v>
      </c>
      <c r="O169" s="6">
        <f>Encode_tbl[[#This Row],[error]]^2</f>
        <v>3.2373282663256293E-3</v>
      </c>
      <c r="P169" s="7"/>
      <c r="Q169" s="7"/>
    </row>
    <row r="170" spans="1:17" x14ac:dyDescent="0.35">
      <c r="A170" t="s">
        <v>7</v>
      </c>
      <c r="B170" t="s">
        <v>22</v>
      </c>
      <c r="C170" t="s">
        <v>21</v>
      </c>
      <c r="D170" t="s">
        <v>10</v>
      </c>
      <c r="E170">
        <v>1.61</v>
      </c>
      <c r="F170">
        <v>2</v>
      </c>
      <c r="G170">
        <v>10.59</v>
      </c>
      <c r="H170">
        <f>IF(Encode_tbl[[#This Row],[sex]]="Male",1,0)</f>
        <v>0</v>
      </c>
      <c r="I170">
        <f>IF(Encode_tbl[[#This Row],[smoker]]="Yes",1,0)</f>
        <v>1</v>
      </c>
      <c r="J170">
        <f>IF(Encode_tbl[[#This Row],[day]]="Fri",1,0)</f>
        <v>0</v>
      </c>
      <c r="K170">
        <f>IF(Encode_tbl[[#This Row],[day]]="Sat",1,0)</f>
        <v>1</v>
      </c>
      <c r="L170">
        <f>IF(Encode_tbl[[#This Row],[day]]="Sun",1,0)</f>
        <v>0</v>
      </c>
      <c r="M170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1.9541704156485626</v>
      </c>
      <c r="N170" s="6">
        <f>Encode_tbl[[#This Row],[tip]]-Encode_tbl[[#This Row],[predicted Tip]]</f>
        <v>-0.34417041564856254</v>
      </c>
      <c r="O170" s="6">
        <f>Encode_tbl[[#This Row],[error]]^2</f>
        <v>0.11845327500770431</v>
      </c>
      <c r="P170" s="7"/>
      <c r="Q170" s="7"/>
    </row>
    <row r="171" spans="1:17" x14ac:dyDescent="0.35">
      <c r="A171" t="s">
        <v>7</v>
      </c>
      <c r="B171" t="s">
        <v>22</v>
      </c>
      <c r="C171" t="s">
        <v>21</v>
      </c>
      <c r="D171" t="s">
        <v>10</v>
      </c>
      <c r="E171">
        <v>2</v>
      </c>
      <c r="F171">
        <v>2</v>
      </c>
      <c r="G171">
        <v>10.63</v>
      </c>
      <c r="H171">
        <f>IF(Encode_tbl[[#This Row],[sex]]="Male",1,0)</f>
        <v>0</v>
      </c>
      <c r="I171">
        <f>IF(Encode_tbl[[#This Row],[smoker]]="Yes",1,0)</f>
        <v>1</v>
      </c>
      <c r="J171">
        <f>IF(Encode_tbl[[#This Row],[day]]="Fri",1,0)</f>
        <v>0</v>
      </c>
      <c r="K171">
        <f>IF(Encode_tbl[[#This Row],[day]]="Sat",1,0)</f>
        <v>1</v>
      </c>
      <c r="L171">
        <f>IF(Encode_tbl[[#This Row],[day]]="Sun",1,0)</f>
        <v>0</v>
      </c>
      <c r="M171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1.9579397874421729</v>
      </c>
      <c r="N171" s="6">
        <f>Encode_tbl[[#This Row],[tip]]-Encode_tbl[[#This Row],[predicted Tip]]</f>
        <v>4.2060212557827104E-2</v>
      </c>
      <c r="O171" s="6">
        <f>Encode_tbl[[#This Row],[error]]^2</f>
        <v>1.7690614804095968E-3</v>
      </c>
      <c r="P171" s="7"/>
      <c r="Q171" s="7"/>
    </row>
    <row r="172" spans="1:17" x14ac:dyDescent="0.35">
      <c r="A172" t="s">
        <v>11</v>
      </c>
      <c r="B172" t="s">
        <v>22</v>
      </c>
      <c r="C172" t="s">
        <v>21</v>
      </c>
      <c r="D172" t="s">
        <v>10</v>
      </c>
      <c r="E172">
        <v>10</v>
      </c>
      <c r="F172">
        <v>3</v>
      </c>
      <c r="G172">
        <v>50.81</v>
      </c>
      <c r="H172">
        <f>IF(Encode_tbl[[#This Row],[sex]]="Male",1,0)</f>
        <v>1</v>
      </c>
      <c r="I172">
        <f>IF(Encode_tbl[[#This Row],[smoker]]="Yes",1,0)</f>
        <v>1</v>
      </c>
      <c r="J172">
        <f>IF(Encode_tbl[[#This Row],[day]]="Fri",1,0)</f>
        <v>0</v>
      </c>
      <c r="K172">
        <f>IF(Encode_tbl[[#This Row],[day]]="Sat",1,0)</f>
        <v>1</v>
      </c>
      <c r="L172">
        <f>IF(Encode_tbl[[#This Row],[day]]="Sun",1,0)</f>
        <v>0</v>
      </c>
      <c r="M172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5.8870690127055525</v>
      </c>
      <c r="N172" s="6">
        <f>Encode_tbl[[#This Row],[tip]]-Encode_tbl[[#This Row],[predicted Tip]]</f>
        <v>4.1129309872944475</v>
      </c>
      <c r="O172" s="6">
        <f>Encode_tbl[[#This Row],[error]]^2</f>
        <v>16.916201306246879</v>
      </c>
      <c r="P172" s="7"/>
      <c r="Q172" s="7"/>
    </row>
    <row r="173" spans="1:17" x14ac:dyDescent="0.35">
      <c r="A173" t="s">
        <v>11</v>
      </c>
      <c r="B173" t="s">
        <v>22</v>
      </c>
      <c r="C173" t="s">
        <v>21</v>
      </c>
      <c r="D173" t="s">
        <v>10</v>
      </c>
      <c r="E173">
        <v>3.16</v>
      </c>
      <c r="F173">
        <v>2</v>
      </c>
      <c r="G173">
        <v>15.81</v>
      </c>
      <c r="H173">
        <f>IF(Encode_tbl[[#This Row],[sex]]="Male",1,0)</f>
        <v>1</v>
      </c>
      <c r="I173">
        <f>IF(Encode_tbl[[#This Row],[smoker]]="Yes",1,0)</f>
        <v>1</v>
      </c>
      <c r="J173">
        <f>IF(Encode_tbl[[#This Row],[day]]="Fri",1,0)</f>
        <v>0</v>
      </c>
      <c r="K173">
        <f>IF(Encode_tbl[[#This Row],[day]]="Sat",1,0)</f>
        <v>1</v>
      </c>
      <c r="L173">
        <f>IF(Encode_tbl[[#This Row],[day]]="Sun",1,0)</f>
        <v>0</v>
      </c>
      <c r="M173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2.4117730920119023</v>
      </c>
      <c r="N173" s="6">
        <f>Encode_tbl[[#This Row],[tip]]-Encode_tbl[[#This Row],[predicted Tip]]</f>
        <v>0.74822690798809788</v>
      </c>
      <c r="O173" s="6">
        <f>Encode_tbl[[#This Row],[error]]^2</f>
        <v>0.55984350583742948</v>
      </c>
      <c r="P173" s="7"/>
      <c r="Q173" s="7"/>
    </row>
    <row r="174" spans="1:17" x14ac:dyDescent="0.35">
      <c r="A174" t="s">
        <v>11</v>
      </c>
      <c r="B174" t="s">
        <v>22</v>
      </c>
      <c r="C174" t="s">
        <v>9</v>
      </c>
      <c r="D174" t="s">
        <v>10</v>
      </c>
      <c r="E174">
        <v>5.15</v>
      </c>
      <c r="F174">
        <v>2</v>
      </c>
      <c r="G174">
        <v>7.25</v>
      </c>
      <c r="H174">
        <f>IF(Encode_tbl[[#This Row],[sex]]="Male",1,0)</f>
        <v>1</v>
      </c>
      <c r="I174">
        <f>IF(Encode_tbl[[#This Row],[smoker]]="Yes",1,0)</f>
        <v>1</v>
      </c>
      <c r="J174">
        <f>IF(Encode_tbl[[#This Row],[day]]="Fri",1,0)</f>
        <v>0</v>
      </c>
      <c r="K174">
        <f>IF(Encode_tbl[[#This Row],[day]]="Sat",1,0)</f>
        <v>0</v>
      </c>
      <c r="L174">
        <f>IF(Encode_tbl[[#This Row],[day]]="Sun",1,0)</f>
        <v>1</v>
      </c>
      <c r="M174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1.7022469786835441</v>
      </c>
      <c r="N174" s="6">
        <f>Encode_tbl[[#This Row],[tip]]-Encode_tbl[[#This Row],[predicted Tip]]</f>
        <v>3.4477530213164562</v>
      </c>
      <c r="O174" s="6">
        <f>Encode_tbl[[#This Row],[error]]^2</f>
        <v>11.887000895996753</v>
      </c>
      <c r="P174" s="7"/>
      <c r="Q174" s="7"/>
    </row>
    <row r="175" spans="1:17" x14ac:dyDescent="0.35">
      <c r="A175" t="s">
        <v>11</v>
      </c>
      <c r="B175" t="s">
        <v>22</v>
      </c>
      <c r="C175" t="s">
        <v>9</v>
      </c>
      <c r="D175" t="s">
        <v>10</v>
      </c>
      <c r="E175">
        <v>3.18</v>
      </c>
      <c r="F175">
        <v>2</v>
      </c>
      <c r="G175">
        <v>31.85</v>
      </c>
      <c r="H175">
        <f>IF(Encode_tbl[[#This Row],[sex]]="Male",1,0)</f>
        <v>1</v>
      </c>
      <c r="I175">
        <f>IF(Encode_tbl[[#This Row],[smoker]]="Yes",1,0)</f>
        <v>1</v>
      </c>
      <c r="J175">
        <f>IF(Encode_tbl[[#This Row],[day]]="Fri",1,0)</f>
        <v>0</v>
      </c>
      <c r="K175">
        <f>IF(Encode_tbl[[#This Row],[day]]="Sat",1,0)</f>
        <v>0</v>
      </c>
      <c r="L175">
        <f>IF(Encode_tbl[[#This Row],[day]]="Sun",1,0)</f>
        <v>1</v>
      </c>
      <c r="M175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4.0204106317540402</v>
      </c>
      <c r="N175" s="6">
        <f>Encode_tbl[[#This Row],[tip]]-Encode_tbl[[#This Row],[predicted Tip]]</f>
        <v>-0.84041063175404007</v>
      </c>
      <c r="O175" s="6">
        <f>Encode_tbl[[#This Row],[error]]^2</f>
        <v>0.70629002996522472</v>
      </c>
      <c r="P175" s="7"/>
      <c r="Q175" s="7"/>
    </row>
    <row r="176" spans="1:17" x14ac:dyDescent="0.35">
      <c r="A176" t="s">
        <v>11</v>
      </c>
      <c r="B176" t="s">
        <v>22</v>
      </c>
      <c r="C176" t="s">
        <v>9</v>
      </c>
      <c r="D176" t="s">
        <v>10</v>
      </c>
      <c r="E176">
        <v>4</v>
      </c>
      <c r="F176">
        <v>2</v>
      </c>
      <c r="G176">
        <v>16.82</v>
      </c>
      <c r="H176">
        <f>IF(Encode_tbl[[#This Row],[sex]]="Male",1,0)</f>
        <v>1</v>
      </c>
      <c r="I176">
        <f>IF(Encode_tbl[[#This Row],[smoker]]="Yes",1,0)</f>
        <v>1</v>
      </c>
      <c r="J176">
        <f>IF(Encode_tbl[[#This Row],[day]]="Fri",1,0)</f>
        <v>0</v>
      </c>
      <c r="K176">
        <f>IF(Encode_tbl[[#This Row],[day]]="Sat",1,0)</f>
        <v>0</v>
      </c>
      <c r="L176">
        <f>IF(Encode_tbl[[#This Row],[day]]="Sun",1,0)</f>
        <v>1</v>
      </c>
      <c r="M176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2.6040691803048714</v>
      </c>
      <c r="N176" s="6">
        <f>Encode_tbl[[#This Row],[tip]]-Encode_tbl[[#This Row],[predicted Tip]]</f>
        <v>1.3959308196951286</v>
      </c>
      <c r="O176" s="6">
        <f>Encode_tbl[[#This Row],[error]]^2</f>
        <v>1.9486228533747134</v>
      </c>
      <c r="P176" s="7"/>
      <c r="Q176" s="7"/>
    </row>
    <row r="177" spans="1:17" x14ac:dyDescent="0.35">
      <c r="A177" t="s">
        <v>11</v>
      </c>
      <c r="B177" t="s">
        <v>22</v>
      </c>
      <c r="C177" t="s">
        <v>9</v>
      </c>
      <c r="D177" t="s">
        <v>10</v>
      </c>
      <c r="E177">
        <v>3.11</v>
      </c>
      <c r="F177">
        <v>2</v>
      </c>
      <c r="G177">
        <v>32.9</v>
      </c>
      <c r="H177">
        <f>IF(Encode_tbl[[#This Row],[sex]]="Male",1,0)</f>
        <v>1</v>
      </c>
      <c r="I177">
        <f>IF(Encode_tbl[[#This Row],[smoker]]="Yes",1,0)</f>
        <v>1</v>
      </c>
      <c r="J177">
        <f>IF(Encode_tbl[[#This Row],[day]]="Fri",1,0)</f>
        <v>0</v>
      </c>
      <c r="K177">
        <f>IF(Encode_tbl[[#This Row],[day]]="Sat",1,0)</f>
        <v>0</v>
      </c>
      <c r="L177">
        <f>IF(Encode_tbl[[#This Row],[day]]="Sun",1,0)</f>
        <v>1</v>
      </c>
      <c r="M177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4.1193566413363172</v>
      </c>
      <c r="N177" s="6">
        <f>Encode_tbl[[#This Row],[tip]]-Encode_tbl[[#This Row],[predicted Tip]]</f>
        <v>-1.0093566413363173</v>
      </c>
      <c r="O177" s="6">
        <f>Encode_tbl[[#This Row],[error]]^2</f>
        <v>1.018800829409731</v>
      </c>
      <c r="P177" s="7"/>
      <c r="Q177" s="7"/>
    </row>
    <row r="178" spans="1:17" x14ac:dyDescent="0.35">
      <c r="A178" t="s">
        <v>11</v>
      </c>
      <c r="B178" t="s">
        <v>22</v>
      </c>
      <c r="C178" t="s">
        <v>9</v>
      </c>
      <c r="D178" t="s">
        <v>10</v>
      </c>
      <c r="E178">
        <v>2</v>
      </c>
      <c r="F178">
        <v>2</v>
      </c>
      <c r="G178">
        <v>17.89</v>
      </c>
      <c r="H178">
        <f>IF(Encode_tbl[[#This Row],[sex]]="Male",1,0)</f>
        <v>1</v>
      </c>
      <c r="I178">
        <f>IF(Encode_tbl[[#This Row],[smoker]]="Yes",1,0)</f>
        <v>1</v>
      </c>
      <c r="J178">
        <f>IF(Encode_tbl[[#This Row],[day]]="Fri",1,0)</f>
        <v>0</v>
      </c>
      <c r="K178">
        <f>IF(Encode_tbl[[#This Row],[day]]="Sat",1,0)</f>
        <v>0</v>
      </c>
      <c r="L178">
        <f>IF(Encode_tbl[[#This Row],[day]]="Sun",1,0)</f>
        <v>1</v>
      </c>
      <c r="M178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2.704899875783954</v>
      </c>
      <c r="N178" s="6">
        <f>Encode_tbl[[#This Row],[tip]]-Encode_tbl[[#This Row],[predicted Tip]]</f>
        <v>-0.70489987578395397</v>
      </c>
      <c r="O178" s="6">
        <f>Encode_tbl[[#This Row],[error]]^2</f>
        <v>0.49688383488023374</v>
      </c>
      <c r="P178" s="7"/>
      <c r="Q178" s="7"/>
    </row>
    <row r="179" spans="1:17" x14ac:dyDescent="0.35">
      <c r="A179" t="s">
        <v>11</v>
      </c>
      <c r="B179" t="s">
        <v>22</v>
      </c>
      <c r="C179" t="s">
        <v>9</v>
      </c>
      <c r="D179" t="s">
        <v>10</v>
      </c>
      <c r="E179">
        <v>2</v>
      </c>
      <c r="F179">
        <v>2</v>
      </c>
      <c r="G179">
        <v>14.48</v>
      </c>
      <c r="H179">
        <f>IF(Encode_tbl[[#This Row],[sex]]="Male",1,0)</f>
        <v>1</v>
      </c>
      <c r="I179">
        <f>IF(Encode_tbl[[#This Row],[smoker]]="Yes",1,0)</f>
        <v>1</v>
      </c>
      <c r="J179">
        <f>IF(Encode_tbl[[#This Row],[day]]="Fri",1,0)</f>
        <v>0</v>
      </c>
      <c r="K179">
        <f>IF(Encode_tbl[[#This Row],[day]]="Sat",1,0)</f>
        <v>0</v>
      </c>
      <c r="L179">
        <f>IF(Encode_tbl[[#This Row],[day]]="Sun",1,0)</f>
        <v>1</v>
      </c>
      <c r="M179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2.3835609303786534</v>
      </c>
      <c r="N179" s="6">
        <f>Encode_tbl[[#This Row],[tip]]-Encode_tbl[[#This Row],[predicted Tip]]</f>
        <v>-0.38356093037865335</v>
      </c>
      <c r="O179" s="6">
        <f>Encode_tbl[[#This Row],[error]]^2</f>
        <v>0.14711898731293815</v>
      </c>
      <c r="P179" s="7"/>
      <c r="Q179" s="7"/>
    </row>
    <row r="180" spans="1:17" x14ac:dyDescent="0.35">
      <c r="A180" t="s">
        <v>7</v>
      </c>
      <c r="B180" t="s">
        <v>22</v>
      </c>
      <c r="C180" t="s">
        <v>9</v>
      </c>
      <c r="D180" t="s">
        <v>10</v>
      </c>
      <c r="E180">
        <v>4</v>
      </c>
      <c r="F180">
        <v>2</v>
      </c>
      <c r="G180">
        <v>9.6</v>
      </c>
      <c r="H180">
        <f>IF(Encode_tbl[[#This Row],[sex]]="Male",1,0)</f>
        <v>0</v>
      </c>
      <c r="I180">
        <f>IF(Encode_tbl[[#This Row],[smoker]]="Yes",1,0)</f>
        <v>1</v>
      </c>
      <c r="J180">
        <f>IF(Encode_tbl[[#This Row],[day]]="Fri",1,0)</f>
        <v>0</v>
      </c>
      <c r="K180">
        <f>IF(Encode_tbl[[#This Row],[day]]="Sat",1,0)</f>
        <v>0</v>
      </c>
      <c r="L180">
        <f>IF(Encode_tbl[[#This Row],[day]]="Sun",1,0)</f>
        <v>1</v>
      </c>
      <c r="M180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1.9579979142610038</v>
      </c>
      <c r="N180" s="6">
        <f>Encode_tbl[[#This Row],[tip]]-Encode_tbl[[#This Row],[predicted Tip]]</f>
        <v>2.0420020857389964</v>
      </c>
      <c r="O180" s="6">
        <f>Encode_tbl[[#This Row],[error]]^2</f>
        <v>4.1697725181624117</v>
      </c>
      <c r="P180" s="7"/>
      <c r="Q180" s="7"/>
    </row>
    <row r="181" spans="1:17" x14ac:dyDescent="0.35">
      <c r="A181" t="s">
        <v>11</v>
      </c>
      <c r="B181" t="s">
        <v>22</v>
      </c>
      <c r="C181" t="s">
        <v>9</v>
      </c>
      <c r="D181" t="s">
        <v>10</v>
      </c>
      <c r="E181">
        <v>3.55</v>
      </c>
      <c r="F181">
        <v>2</v>
      </c>
      <c r="G181">
        <v>34.630000000000003</v>
      </c>
      <c r="H181">
        <f>IF(Encode_tbl[[#This Row],[sex]]="Male",1,0)</f>
        <v>1</v>
      </c>
      <c r="I181">
        <f>IF(Encode_tbl[[#This Row],[smoker]]="Yes",1,0)</f>
        <v>1</v>
      </c>
      <c r="J181">
        <f>IF(Encode_tbl[[#This Row],[day]]="Fri",1,0)</f>
        <v>0</v>
      </c>
      <c r="K181">
        <f>IF(Encode_tbl[[#This Row],[day]]="Sat",1,0)</f>
        <v>0</v>
      </c>
      <c r="L181">
        <f>IF(Encode_tbl[[#This Row],[day]]="Sun",1,0)</f>
        <v>1</v>
      </c>
      <c r="M181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4.2823819714099747</v>
      </c>
      <c r="N181" s="6">
        <f>Encode_tbl[[#This Row],[tip]]-Encode_tbl[[#This Row],[predicted Tip]]</f>
        <v>-0.73238197140997485</v>
      </c>
      <c r="O181" s="6">
        <f>Encode_tbl[[#This Row],[error]]^2</f>
        <v>0.53638335204636123</v>
      </c>
      <c r="P181" s="7"/>
      <c r="Q181" s="7"/>
    </row>
    <row r="182" spans="1:17" x14ac:dyDescent="0.35">
      <c r="A182" t="s">
        <v>11</v>
      </c>
      <c r="B182" t="s">
        <v>22</v>
      </c>
      <c r="C182" t="s">
        <v>9</v>
      </c>
      <c r="D182" t="s">
        <v>10</v>
      </c>
      <c r="E182">
        <v>3.68</v>
      </c>
      <c r="F182">
        <v>4</v>
      </c>
      <c r="G182">
        <v>34.65</v>
      </c>
      <c r="H182">
        <f>IF(Encode_tbl[[#This Row],[sex]]="Male",1,0)</f>
        <v>1</v>
      </c>
      <c r="I182">
        <f>IF(Encode_tbl[[#This Row],[smoker]]="Yes",1,0)</f>
        <v>1</v>
      </c>
      <c r="J182">
        <f>IF(Encode_tbl[[#This Row],[day]]="Fri",1,0)</f>
        <v>0</v>
      </c>
      <c r="K182">
        <f>IF(Encode_tbl[[#This Row],[day]]="Sat",1,0)</f>
        <v>0</v>
      </c>
      <c r="L182">
        <f>IF(Encode_tbl[[#This Row],[day]]="Sun",1,0)</f>
        <v>1</v>
      </c>
      <c r="M182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4.6384578598755963</v>
      </c>
      <c r="N182" s="6">
        <f>Encode_tbl[[#This Row],[tip]]-Encode_tbl[[#This Row],[predicted Tip]]</f>
        <v>-0.95845785987559617</v>
      </c>
      <c r="O182" s="6">
        <f>Encode_tbl[[#This Row],[error]]^2</f>
        <v>0.91864146915730793</v>
      </c>
      <c r="P182" s="7"/>
      <c r="Q182" s="7"/>
    </row>
    <row r="183" spans="1:17" x14ac:dyDescent="0.35">
      <c r="A183" t="s">
        <v>11</v>
      </c>
      <c r="B183" t="s">
        <v>22</v>
      </c>
      <c r="C183" t="s">
        <v>9</v>
      </c>
      <c r="D183" t="s">
        <v>10</v>
      </c>
      <c r="E183">
        <v>5.65</v>
      </c>
      <c r="F183">
        <v>2</v>
      </c>
      <c r="G183">
        <v>23.33</v>
      </c>
      <c r="H183">
        <f>IF(Encode_tbl[[#This Row],[sex]]="Male",1,0)</f>
        <v>1</v>
      </c>
      <c r="I183">
        <f>IF(Encode_tbl[[#This Row],[smoker]]="Yes",1,0)</f>
        <v>1</v>
      </c>
      <c r="J183">
        <f>IF(Encode_tbl[[#This Row],[day]]="Fri",1,0)</f>
        <v>0</v>
      </c>
      <c r="K183">
        <f>IF(Encode_tbl[[#This Row],[day]]="Sat",1,0)</f>
        <v>0</v>
      </c>
      <c r="L183">
        <f>IF(Encode_tbl[[#This Row],[day]]="Sun",1,0)</f>
        <v>1</v>
      </c>
      <c r="M183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3.2175344397149899</v>
      </c>
      <c r="N183" s="6">
        <f>Encode_tbl[[#This Row],[tip]]-Encode_tbl[[#This Row],[predicted Tip]]</f>
        <v>2.4324655602850105</v>
      </c>
      <c r="O183" s="6">
        <f>Encode_tbl[[#This Row],[error]]^2</f>
        <v>5.9168887019726704</v>
      </c>
      <c r="P183" s="7"/>
      <c r="Q183" s="7"/>
    </row>
    <row r="184" spans="1:17" x14ac:dyDescent="0.35">
      <c r="A184" t="s">
        <v>11</v>
      </c>
      <c r="B184" t="s">
        <v>22</v>
      </c>
      <c r="C184" t="s">
        <v>9</v>
      </c>
      <c r="D184" t="s">
        <v>10</v>
      </c>
      <c r="E184">
        <v>3.5</v>
      </c>
      <c r="F184">
        <v>3</v>
      </c>
      <c r="G184">
        <v>45.35</v>
      </c>
      <c r="H184">
        <f>IF(Encode_tbl[[#This Row],[sex]]="Male",1,0)</f>
        <v>1</v>
      </c>
      <c r="I184">
        <f>IF(Encode_tbl[[#This Row],[smoker]]="Yes",1,0)</f>
        <v>1</v>
      </c>
      <c r="J184">
        <f>IF(Encode_tbl[[#This Row],[day]]="Fri",1,0)</f>
        <v>0</v>
      </c>
      <c r="K184">
        <f>IF(Encode_tbl[[#This Row],[day]]="Sat",1,0)</f>
        <v>0</v>
      </c>
      <c r="L184">
        <f>IF(Encode_tbl[[#This Row],[day]]="Sun",1,0)</f>
        <v>1</v>
      </c>
      <c r="M184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5.469669213382014</v>
      </c>
      <c r="N184" s="6">
        <f>Encode_tbl[[#This Row],[tip]]-Encode_tbl[[#This Row],[predicted Tip]]</f>
        <v>-1.969669213382014</v>
      </c>
      <c r="O184" s="6">
        <f>Encode_tbl[[#This Row],[error]]^2</f>
        <v>3.8795968101449216</v>
      </c>
      <c r="P184" s="7"/>
      <c r="Q184" s="7"/>
    </row>
    <row r="185" spans="1:17" x14ac:dyDescent="0.35">
      <c r="A185" t="s">
        <v>11</v>
      </c>
      <c r="B185" t="s">
        <v>22</v>
      </c>
      <c r="C185" t="s">
        <v>9</v>
      </c>
      <c r="D185" t="s">
        <v>10</v>
      </c>
      <c r="E185">
        <v>6.5</v>
      </c>
      <c r="F185">
        <v>4</v>
      </c>
      <c r="G185">
        <v>23.17</v>
      </c>
      <c r="H185">
        <f>IF(Encode_tbl[[#This Row],[sex]]="Male",1,0)</f>
        <v>1</v>
      </c>
      <c r="I185">
        <f>IF(Encode_tbl[[#This Row],[smoker]]="Yes",1,0)</f>
        <v>1</v>
      </c>
      <c r="J185">
        <f>IF(Encode_tbl[[#This Row],[day]]="Fri",1,0)</f>
        <v>0</v>
      </c>
      <c r="K185">
        <f>IF(Encode_tbl[[#This Row],[day]]="Sat",1,0)</f>
        <v>0</v>
      </c>
      <c r="L185">
        <f>IF(Encode_tbl[[#This Row],[day]]="Sun",1,0)</f>
        <v>1</v>
      </c>
      <c r="M185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3.5566481551093654</v>
      </c>
      <c r="N185" s="6">
        <f>Encode_tbl[[#This Row],[tip]]-Encode_tbl[[#This Row],[predicted Tip]]</f>
        <v>2.9433518448906346</v>
      </c>
      <c r="O185" s="6">
        <f>Encode_tbl[[#This Row],[error]]^2</f>
        <v>8.6633200828211017</v>
      </c>
      <c r="P185" s="7"/>
      <c r="Q185" s="7"/>
    </row>
    <row r="186" spans="1:17" x14ac:dyDescent="0.35">
      <c r="A186" t="s">
        <v>11</v>
      </c>
      <c r="B186" t="s">
        <v>22</v>
      </c>
      <c r="C186" t="s">
        <v>9</v>
      </c>
      <c r="D186" t="s">
        <v>10</v>
      </c>
      <c r="E186">
        <v>3</v>
      </c>
      <c r="F186">
        <v>2</v>
      </c>
      <c r="G186">
        <v>40.549999999999997</v>
      </c>
      <c r="H186">
        <f>IF(Encode_tbl[[#This Row],[sex]]="Male",1,0)</f>
        <v>1</v>
      </c>
      <c r="I186">
        <f>IF(Encode_tbl[[#This Row],[smoker]]="Yes",1,0)</f>
        <v>1</v>
      </c>
      <c r="J186">
        <f>IF(Encode_tbl[[#This Row],[day]]="Fri",1,0)</f>
        <v>0</v>
      </c>
      <c r="K186">
        <f>IF(Encode_tbl[[#This Row],[day]]="Sat",1,0)</f>
        <v>0</v>
      </c>
      <c r="L186">
        <f>IF(Encode_tbl[[#This Row],[day]]="Sun",1,0)</f>
        <v>1</v>
      </c>
      <c r="M186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4.8402489968643367</v>
      </c>
      <c r="N186" s="6">
        <f>Encode_tbl[[#This Row],[tip]]-Encode_tbl[[#This Row],[predicted Tip]]</f>
        <v>-1.8402489968643367</v>
      </c>
      <c r="O186" s="6">
        <f>Encode_tbl[[#This Row],[error]]^2</f>
        <v>3.3865163704601975</v>
      </c>
      <c r="P186" s="7"/>
      <c r="Q186" s="7"/>
    </row>
    <row r="187" spans="1:17" x14ac:dyDescent="0.35">
      <c r="A187" t="s">
        <v>11</v>
      </c>
      <c r="B187" t="s">
        <v>8</v>
      </c>
      <c r="C187" t="s">
        <v>9</v>
      </c>
      <c r="D187" t="s">
        <v>10</v>
      </c>
      <c r="E187">
        <v>5</v>
      </c>
      <c r="F187">
        <v>5</v>
      </c>
      <c r="G187">
        <v>20.69</v>
      </c>
      <c r="H187">
        <f>IF(Encode_tbl[[#This Row],[sex]]="Male",1,0)</f>
        <v>1</v>
      </c>
      <c r="I187">
        <f>IF(Encode_tbl[[#This Row],[smoker]]="Yes",1,0)</f>
        <v>0</v>
      </c>
      <c r="J187">
        <f>IF(Encode_tbl[[#This Row],[day]]="Fri",1,0)</f>
        <v>0</v>
      </c>
      <c r="K187">
        <f>IF(Encode_tbl[[#This Row],[day]]="Sat",1,0)</f>
        <v>0</v>
      </c>
      <c r="L187">
        <f>IF(Encode_tbl[[#This Row],[day]]="Sun",1,0)</f>
        <v>1</v>
      </c>
      <c r="M187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3.5817361478898979</v>
      </c>
      <c r="N187" s="6">
        <f>Encode_tbl[[#This Row],[tip]]-Encode_tbl[[#This Row],[predicted Tip]]</f>
        <v>1.4182638521101021</v>
      </c>
      <c r="O187" s="6">
        <f>Encode_tbl[[#This Row],[error]]^2</f>
        <v>2.0114723542021857</v>
      </c>
      <c r="P187" s="7"/>
      <c r="Q187" s="7"/>
    </row>
    <row r="188" spans="1:17" x14ac:dyDescent="0.35">
      <c r="A188" t="s">
        <v>7</v>
      </c>
      <c r="B188" t="s">
        <v>22</v>
      </c>
      <c r="C188" t="s">
        <v>9</v>
      </c>
      <c r="D188" t="s">
        <v>10</v>
      </c>
      <c r="E188">
        <v>3.5</v>
      </c>
      <c r="F188">
        <v>3</v>
      </c>
      <c r="G188">
        <v>20.9</v>
      </c>
      <c r="H188">
        <f>IF(Encode_tbl[[#This Row],[sex]]="Male",1,0)</f>
        <v>0</v>
      </c>
      <c r="I188">
        <f>IF(Encode_tbl[[#This Row],[smoker]]="Yes",1,0)</f>
        <v>1</v>
      </c>
      <c r="J188">
        <f>IF(Encode_tbl[[#This Row],[day]]="Fri",1,0)</f>
        <v>0</v>
      </c>
      <c r="K188">
        <f>IF(Encode_tbl[[#This Row],[day]]="Sat",1,0)</f>
        <v>0</v>
      </c>
      <c r="L188">
        <f>IF(Encode_tbl[[#This Row],[day]]="Sun",1,0)</f>
        <v>1</v>
      </c>
      <c r="M188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3.199941047240396</v>
      </c>
      <c r="N188" s="6">
        <f>Encode_tbl[[#This Row],[tip]]-Encode_tbl[[#This Row],[predicted Tip]]</f>
        <v>0.30005895275960404</v>
      </c>
      <c r="O188" s="6">
        <f>Encode_tbl[[#This Row],[error]]^2</f>
        <v>9.0035375131190282E-2</v>
      </c>
      <c r="P188" s="7"/>
      <c r="Q188" s="7"/>
    </row>
    <row r="189" spans="1:17" x14ac:dyDescent="0.35">
      <c r="A189" t="s">
        <v>11</v>
      </c>
      <c r="B189" t="s">
        <v>22</v>
      </c>
      <c r="C189" t="s">
        <v>9</v>
      </c>
      <c r="D189" t="s">
        <v>10</v>
      </c>
      <c r="E189">
        <v>2</v>
      </c>
      <c r="F189">
        <v>5</v>
      </c>
      <c r="G189">
        <v>30.46</v>
      </c>
      <c r="H189">
        <f>IF(Encode_tbl[[#This Row],[sex]]="Male",1,0)</f>
        <v>1</v>
      </c>
      <c r="I189">
        <f>IF(Encode_tbl[[#This Row],[smoker]]="Yes",1,0)</f>
        <v>1</v>
      </c>
      <c r="J189">
        <f>IF(Encode_tbl[[#This Row],[day]]="Fri",1,0)</f>
        <v>0</v>
      </c>
      <c r="K189">
        <f>IF(Encode_tbl[[#This Row],[day]]="Sat",1,0)</f>
        <v>0</v>
      </c>
      <c r="L189">
        <f>IF(Encode_tbl[[#This Row],[day]]="Sun",1,0)</f>
        <v>1</v>
      </c>
      <c r="M189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4.4207117657792994</v>
      </c>
      <c r="N189" s="6">
        <f>Encode_tbl[[#This Row],[tip]]-Encode_tbl[[#This Row],[predicted Tip]]</f>
        <v>-2.4207117657792994</v>
      </c>
      <c r="O189" s="6">
        <f>Encode_tbl[[#This Row],[error]]^2</f>
        <v>5.8598454529823334</v>
      </c>
      <c r="P189" s="7"/>
      <c r="Q189" s="7"/>
    </row>
    <row r="190" spans="1:17" x14ac:dyDescent="0.35">
      <c r="A190" t="s">
        <v>7</v>
      </c>
      <c r="B190" t="s">
        <v>22</v>
      </c>
      <c r="C190" t="s">
        <v>9</v>
      </c>
      <c r="D190" t="s">
        <v>10</v>
      </c>
      <c r="E190">
        <v>3.5</v>
      </c>
      <c r="F190">
        <v>3</v>
      </c>
      <c r="G190">
        <v>18.149999999999999</v>
      </c>
      <c r="H190">
        <f>IF(Encode_tbl[[#This Row],[sex]]="Male",1,0)</f>
        <v>0</v>
      </c>
      <c r="I190">
        <f>IF(Encode_tbl[[#This Row],[smoker]]="Yes",1,0)</f>
        <v>1</v>
      </c>
      <c r="J190">
        <f>IF(Encode_tbl[[#This Row],[day]]="Fri",1,0)</f>
        <v>0</v>
      </c>
      <c r="K190">
        <f>IF(Encode_tbl[[#This Row],[day]]="Sat",1,0)</f>
        <v>0</v>
      </c>
      <c r="L190">
        <f>IF(Encode_tbl[[#This Row],[day]]="Sun",1,0)</f>
        <v>1</v>
      </c>
      <c r="M190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2.9407967364296694</v>
      </c>
      <c r="N190" s="6">
        <f>Encode_tbl[[#This Row],[tip]]-Encode_tbl[[#This Row],[predicted Tip]]</f>
        <v>0.55920326357033057</v>
      </c>
      <c r="O190" s="6">
        <f>Encode_tbl[[#This Row],[error]]^2</f>
        <v>0.31270828998770861</v>
      </c>
      <c r="P190" s="7"/>
      <c r="Q190" s="7"/>
    </row>
    <row r="191" spans="1:17" x14ac:dyDescent="0.35">
      <c r="A191" t="s">
        <v>11</v>
      </c>
      <c r="B191" t="s">
        <v>22</v>
      </c>
      <c r="C191" t="s">
        <v>9</v>
      </c>
      <c r="D191" t="s">
        <v>10</v>
      </c>
      <c r="E191">
        <v>4</v>
      </c>
      <c r="F191">
        <v>3</v>
      </c>
      <c r="G191">
        <v>23.1</v>
      </c>
      <c r="H191">
        <f>IF(Encode_tbl[[#This Row],[sex]]="Male",1,0)</f>
        <v>1</v>
      </c>
      <c r="I191">
        <f>IF(Encode_tbl[[#This Row],[smoker]]="Yes",1,0)</f>
        <v>1</v>
      </c>
      <c r="J191">
        <f>IF(Encode_tbl[[#This Row],[day]]="Fri",1,0)</f>
        <v>0</v>
      </c>
      <c r="K191">
        <f>IF(Encode_tbl[[#This Row],[day]]="Sat",1,0)</f>
        <v>0</v>
      </c>
      <c r="L191">
        <f>IF(Encode_tbl[[#This Row],[day]]="Sun",1,0)</f>
        <v>1</v>
      </c>
      <c r="M191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3.3729561531861383</v>
      </c>
      <c r="N191" s="6">
        <f>Encode_tbl[[#This Row],[tip]]-Encode_tbl[[#This Row],[predicted Tip]]</f>
        <v>0.62704384681386172</v>
      </c>
      <c r="O191" s="6">
        <f>Encode_tbl[[#This Row],[error]]^2</f>
        <v>0.39318398582712566</v>
      </c>
      <c r="P191" s="7"/>
      <c r="Q191" s="7"/>
    </row>
    <row r="192" spans="1:17" x14ac:dyDescent="0.35">
      <c r="A192" t="s">
        <v>11</v>
      </c>
      <c r="B192" t="s">
        <v>22</v>
      </c>
      <c r="C192" t="s">
        <v>9</v>
      </c>
      <c r="D192" t="s">
        <v>10</v>
      </c>
      <c r="E192">
        <v>1.5</v>
      </c>
      <c r="F192">
        <v>2</v>
      </c>
      <c r="G192">
        <v>15.69</v>
      </c>
      <c r="H192">
        <f>IF(Encode_tbl[[#This Row],[sex]]="Male",1,0)</f>
        <v>1</v>
      </c>
      <c r="I192">
        <f>IF(Encode_tbl[[#This Row],[smoker]]="Yes",1,0)</f>
        <v>1</v>
      </c>
      <c r="J192">
        <f>IF(Encode_tbl[[#This Row],[day]]="Fri",1,0)</f>
        <v>0</v>
      </c>
      <c r="K192">
        <f>IF(Encode_tbl[[#This Row],[day]]="Sat",1,0)</f>
        <v>0</v>
      </c>
      <c r="L192">
        <f>IF(Encode_tbl[[#This Row],[day]]="Sun",1,0)</f>
        <v>1</v>
      </c>
      <c r="M192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2.4975844271353727</v>
      </c>
      <c r="N192" s="6">
        <f>Encode_tbl[[#This Row],[tip]]-Encode_tbl[[#This Row],[predicted Tip]]</f>
        <v>-0.99758442713537265</v>
      </c>
      <c r="O192" s="6">
        <f>Encode_tbl[[#This Row],[error]]^2</f>
        <v>0.99517468926300967</v>
      </c>
      <c r="P192" s="7"/>
      <c r="Q192" s="7"/>
    </row>
    <row r="193" spans="1:17" x14ac:dyDescent="0.35">
      <c r="A193" t="s">
        <v>7</v>
      </c>
      <c r="B193" t="s">
        <v>22</v>
      </c>
      <c r="C193" t="s">
        <v>23</v>
      </c>
      <c r="D193" t="s">
        <v>24</v>
      </c>
      <c r="E193">
        <v>4.1900000000000004</v>
      </c>
      <c r="F193">
        <v>2</v>
      </c>
      <c r="G193">
        <v>19.809999999999999</v>
      </c>
      <c r="H193">
        <f>IF(Encode_tbl[[#This Row],[sex]]="Male",1,0)</f>
        <v>0</v>
      </c>
      <c r="I193">
        <f>IF(Encode_tbl[[#This Row],[smoker]]="Yes",1,0)</f>
        <v>1</v>
      </c>
      <c r="J193">
        <f>IF(Encode_tbl[[#This Row],[day]]="Fri",1,0)</f>
        <v>0</v>
      </c>
      <c r="K193">
        <f>IF(Encode_tbl[[#This Row],[day]]="Sat",1,0)</f>
        <v>0</v>
      </c>
      <c r="L193">
        <f>IF(Encode_tbl[[#This Row],[day]]="Sun",1,0)</f>
        <v>0</v>
      </c>
      <c r="M193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2.8526385921679163</v>
      </c>
      <c r="N193" s="6">
        <f>Encode_tbl[[#This Row],[tip]]-Encode_tbl[[#This Row],[predicted Tip]]</f>
        <v>1.3373614078320841</v>
      </c>
      <c r="O193" s="6">
        <f>Encode_tbl[[#This Row],[error]]^2</f>
        <v>1.7885355351586141</v>
      </c>
      <c r="P193" s="7"/>
      <c r="Q193" s="7"/>
    </row>
    <row r="194" spans="1:17" x14ac:dyDescent="0.35">
      <c r="A194" t="s">
        <v>11</v>
      </c>
      <c r="B194" t="s">
        <v>22</v>
      </c>
      <c r="C194" t="s">
        <v>23</v>
      </c>
      <c r="D194" t="s">
        <v>24</v>
      </c>
      <c r="E194">
        <v>2.56</v>
      </c>
      <c r="F194">
        <v>2</v>
      </c>
      <c r="G194">
        <v>28.44</v>
      </c>
      <c r="H194">
        <f>IF(Encode_tbl[[#This Row],[sex]]="Male",1,0)</f>
        <v>1</v>
      </c>
      <c r="I194">
        <f>IF(Encode_tbl[[#This Row],[smoker]]="Yes",1,0)</f>
        <v>1</v>
      </c>
      <c r="J194">
        <f>IF(Encode_tbl[[#This Row],[day]]="Fri",1,0)</f>
        <v>0</v>
      </c>
      <c r="K194">
        <f>IF(Encode_tbl[[#This Row],[day]]="Sat",1,0)</f>
        <v>0</v>
      </c>
      <c r="L194">
        <f>IF(Encode_tbl[[#This Row],[day]]="Sun",1,0)</f>
        <v>0</v>
      </c>
      <c r="M194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3.6315802139365565</v>
      </c>
      <c r="N194" s="6">
        <f>Encode_tbl[[#This Row],[tip]]-Encode_tbl[[#This Row],[predicted Tip]]</f>
        <v>-1.0715802139365564</v>
      </c>
      <c r="O194" s="6">
        <f>Encode_tbl[[#This Row],[error]]^2</f>
        <v>1.148284154900316</v>
      </c>
      <c r="P194" s="7"/>
      <c r="Q194" s="7"/>
    </row>
    <row r="195" spans="1:17" x14ac:dyDescent="0.35">
      <c r="A195" t="s">
        <v>11</v>
      </c>
      <c r="B195" t="s">
        <v>22</v>
      </c>
      <c r="C195" t="s">
        <v>23</v>
      </c>
      <c r="D195" t="s">
        <v>24</v>
      </c>
      <c r="E195">
        <v>2.02</v>
      </c>
      <c r="F195">
        <v>2</v>
      </c>
      <c r="G195">
        <v>15.48</v>
      </c>
      <c r="H195">
        <f>IF(Encode_tbl[[#This Row],[sex]]="Male",1,0)</f>
        <v>1</v>
      </c>
      <c r="I195">
        <f>IF(Encode_tbl[[#This Row],[smoker]]="Yes",1,0)</f>
        <v>1</v>
      </c>
      <c r="J195">
        <f>IF(Encode_tbl[[#This Row],[day]]="Fri",1,0)</f>
        <v>0</v>
      </c>
      <c r="K195">
        <f>IF(Encode_tbl[[#This Row],[day]]="Sat",1,0)</f>
        <v>0</v>
      </c>
      <c r="L195">
        <f>IF(Encode_tbl[[#This Row],[day]]="Sun",1,0)</f>
        <v>0</v>
      </c>
      <c r="M195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2.4103037528067341</v>
      </c>
      <c r="N195" s="6">
        <f>Encode_tbl[[#This Row],[tip]]-Encode_tbl[[#This Row],[predicted Tip]]</f>
        <v>-0.39030375280673413</v>
      </c>
      <c r="O195" s="6">
        <f>Encode_tbl[[#This Row],[error]]^2</f>
        <v>0.15233701945502021</v>
      </c>
      <c r="P195" s="7"/>
      <c r="Q195" s="7"/>
    </row>
    <row r="196" spans="1:17" x14ac:dyDescent="0.35">
      <c r="A196" t="s">
        <v>11</v>
      </c>
      <c r="B196" t="s">
        <v>22</v>
      </c>
      <c r="C196" t="s">
        <v>23</v>
      </c>
      <c r="D196" t="s">
        <v>24</v>
      </c>
      <c r="E196">
        <v>4</v>
      </c>
      <c r="F196">
        <v>2</v>
      </c>
      <c r="G196">
        <v>16.579999999999998</v>
      </c>
      <c r="H196">
        <f>IF(Encode_tbl[[#This Row],[sex]]="Male",1,0)</f>
        <v>1</v>
      </c>
      <c r="I196">
        <f>IF(Encode_tbl[[#This Row],[smoker]]="Yes",1,0)</f>
        <v>1</v>
      </c>
      <c r="J196">
        <f>IF(Encode_tbl[[#This Row],[day]]="Fri",1,0)</f>
        <v>0</v>
      </c>
      <c r="K196">
        <f>IF(Encode_tbl[[#This Row],[day]]="Sat",1,0)</f>
        <v>0</v>
      </c>
      <c r="L196">
        <f>IF(Encode_tbl[[#This Row],[day]]="Sun",1,0)</f>
        <v>0</v>
      </c>
      <c r="M196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2.5139614771310241</v>
      </c>
      <c r="N196" s="6">
        <f>Encode_tbl[[#This Row],[tip]]-Encode_tbl[[#This Row],[predicted Tip]]</f>
        <v>1.4860385228689759</v>
      </c>
      <c r="O196" s="6">
        <f>Encode_tbl[[#This Row],[error]]^2</f>
        <v>2.2083104914506078</v>
      </c>
      <c r="P196" s="7"/>
      <c r="Q196" s="7"/>
    </row>
    <row r="197" spans="1:17" x14ac:dyDescent="0.35">
      <c r="A197" t="s">
        <v>11</v>
      </c>
      <c r="B197" t="s">
        <v>8</v>
      </c>
      <c r="C197" t="s">
        <v>23</v>
      </c>
      <c r="D197" t="s">
        <v>24</v>
      </c>
      <c r="E197">
        <v>1.44</v>
      </c>
      <c r="F197">
        <v>2</v>
      </c>
      <c r="G197">
        <v>7.56</v>
      </c>
      <c r="H197">
        <f>IF(Encode_tbl[[#This Row],[sex]]="Male",1,0)</f>
        <v>1</v>
      </c>
      <c r="I197">
        <f>IF(Encode_tbl[[#This Row],[smoker]]="Yes",1,0)</f>
        <v>0</v>
      </c>
      <c r="J197">
        <f>IF(Encode_tbl[[#This Row],[day]]="Fri",1,0)</f>
        <v>0</v>
      </c>
      <c r="K197">
        <f>IF(Encode_tbl[[#This Row],[day]]="Sat",1,0)</f>
        <v>0</v>
      </c>
      <c r="L197">
        <f>IF(Encode_tbl[[#This Row],[day]]="Sun",1,0)</f>
        <v>0</v>
      </c>
      <c r="M197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1.745661580371821</v>
      </c>
      <c r="N197" s="6">
        <f>Encode_tbl[[#This Row],[tip]]-Encode_tbl[[#This Row],[predicted Tip]]</f>
        <v>-0.30566158037182101</v>
      </c>
      <c r="O197" s="6">
        <f>Encode_tbl[[#This Row],[error]]^2</f>
        <v>9.3429001715399196E-2</v>
      </c>
      <c r="P197" s="7"/>
      <c r="Q197" s="7"/>
    </row>
    <row r="198" spans="1:17" x14ac:dyDescent="0.35">
      <c r="A198" t="s">
        <v>11</v>
      </c>
      <c r="B198" t="s">
        <v>22</v>
      </c>
      <c r="C198" t="s">
        <v>23</v>
      </c>
      <c r="D198" t="s">
        <v>24</v>
      </c>
      <c r="E198">
        <v>2</v>
      </c>
      <c r="F198">
        <v>2</v>
      </c>
      <c r="G198">
        <v>10.34</v>
      </c>
      <c r="H198">
        <f>IF(Encode_tbl[[#This Row],[sex]]="Male",1,0)</f>
        <v>1</v>
      </c>
      <c r="I198">
        <f>IF(Encode_tbl[[#This Row],[smoker]]="Yes",1,0)</f>
        <v>1</v>
      </c>
      <c r="J198">
        <f>IF(Encode_tbl[[#This Row],[day]]="Fri",1,0)</f>
        <v>0</v>
      </c>
      <c r="K198">
        <f>IF(Encode_tbl[[#This Row],[day]]="Sat",1,0)</f>
        <v>0</v>
      </c>
      <c r="L198">
        <f>IF(Encode_tbl[[#This Row],[day]]="Sun",1,0)</f>
        <v>0</v>
      </c>
      <c r="M198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1.9259394773277771</v>
      </c>
      <c r="N198" s="6">
        <f>Encode_tbl[[#This Row],[tip]]-Encode_tbl[[#This Row],[predicted Tip]]</f>
        <v>7.406052267222285E-2</v>
      </c>
      <c r="O198" s="6">
        <f>Encode_tbl[[#This Row],[error]]^2</f>
        <v>5.4849610184828351E-3</v>
      </c>
      <c r="P198" s="7"/>
      <c r="Q198" s="7"/>
    </row>
    <row r="199" spans="1:17" x14ac:dyDescent="0.35">
      <c r="A199" t="s">
        <v>7</v>
      </c>
      <c r="B199" t="s">
        <v>22</v>
      </c>
      <c r="C199" t="s">
        <v>23</v>
      </c>
      <c r="D199" t="s">
        <v>24</v>
      </c>
      <c r="E199">
        <v>5</v>
      </c>
      <c r="F199">
        <v>4</v>
      </c>
      <c r="G199">
        <v>43.11</v>
      </c>
      <c r="H199">
        <f>IF(Encode_tbl[[#This Row],[sex]]="Male",1,0)</f>
        <v>0</v>
      </c>
      <c r="I199">
        <f>IF(Encode_tbl[[#This Row],[smoker]]="Yes",1,0)</f>
        <v>1</v>
      </c>
      <c r="J199">
        <f>IF(Encode_tbl[[#This Row],[day]]="Fri",1,0)</f>
        <v>0</v>
      </c>
      <c r="K199">
        <f>IF(Encode_tbl[[#This Row],[day]]="Sat",1,0)</f>
        <v>0</v>
      </c>
      <c r="L199">
        <f>IF(Encode_tbl[[#This Row],[day]]="Sun",1,0)</f>
        <v>0</v>
      </c>
      <c r="M199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5.4024888645148863</v>
      </c>
      <c r="N199" s="6">
        <f>Encode_tbl[[#This Row],[tip]]-Encode_tbl[[#This Row],[predicted Tip]]</f>
        <v>-0.4024888645148863</v>
      </c>
      <c r="O199" s="6">
        <f>Encode_tbl[[#This Row],[error]]^2</f>
        <v>0.16199728605848251</v>
      </c>
      <c r="P199" s="7"/>
      <c r="Q199" s="7"/>
    </row>
    <row r="200" spans="1:17" x14ac:dyDescent="0.35">
      <c r="A200" t="s">
        <v>7</v>
      </c>
      <c r="B200" t="s">
        <v>22</v>
      </c>
      <c r="C200" t="s">
        <v>23</v>
      </c>
      <c r="D200" t="s">
        <v>24</v>
      </c>
      <c r="E200">
        <v>2</v>
      </c>
      <c r="F200">
        <v>2</v>
      </c>
      <c r="G200">
        <v>13</v>
      </c>
      <c r="H200">
        <f>IF(Encode_tbl[[#This Row],[sex]]="Male",1,0)</f>
        <v>0</v>
      </c>
      <c r="I200">
        <f>IF(Encode_tbl[[#This Row],[smoker]]="Yes",1,0)</f>
        <v>1</v>
      </c>
      <c r="J200">
        <f>IF(Encode_tbl[[#This Row],[day]]="Fri",1,0)</f>
        <v>0</v>
      </c>
      <c r="K200">
        <f>IF(Encode_tbl[[#This Row],[day]]="Sat",1,0)</f>
        <v>0</v>
      </c>
      <c r="L200">
        <f>IF(Encode_tbl[[#This Row],[day]]="Sun",1,0)</f>
        <v>0</v>
      </c>
      <c r="M200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2.2109030443057183</v>
      </c>
      <c r="N200" s="6">
        <f>Encode_tbl[[#This Row],[tip]]-Encode_tbl[[#This Row],[predicted Tip]]</f>
        <v>-0.21090304430571827</v>
      </c>
      <c r="O200" s="6">
        <f>Encode_tbl[[#This Row],[error]]^2</f>
        <v>4.4480094097419764E-2</v>
      </c>
      <c r="P200" s="7"/>
      <c r="Q200" s="7"/>
    </row>
    <row r="201" spans="1:17" x14ac:dyDescent="0.35">
      <c r="A201" t="s">
        <v>11</v>
      </c>
      <c r="B201" t="s">
        <v>22</v>
      </c>
      <c r="C201" t="s">
        <v>23</v>
      </c>
      <c r="D201" t="s">
        <v>24</v>
      </c>
      <c r="E201">
        <v>2</v>
      </c>
      <c r="F201">
        <v>2</v>
      </c>
      <c r="G201">
        <v>13.51</v>
      </c>
      <c r="H201">
        <f>IF(Encode_tbl[[#This Row],[sex]]="Male",1,0)</f>
        <v>1</v>
      </c>
      <c r="I201">
        <f>IF(Encode_tbl[[#This Row],[smoker]]="Yes",1,0)</f>
        <v>1</v>
      </c>
      <c r="J201">
        <f>IF(Encode_tbl[[#This Row],[day]]="Fri",1,0)</f>
        <v>0</v>
      </c>
      <c r="K201">
        <f>IF(Encode_tbl[[#This Row],[day]]="Sat",1,0)</f>
        <v>0</v>
      </c>
      <c r="L201">
        <f>IF(Encode_tbl[[#This Row],[day]]="Sun",1,0)</f>
        <v>0</v>
      </c>
      <c r="M201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2.2246621919714138</v>
      </c>
      <c r="N201" s="6">
        <f>Encode_tbl[[#This Row],[tip]]-Encode_tbl[[#This Row],[predicted Tip]]</f>
        <v>-0.22466219197141379</v>
      </c>
      <c r="O201" s="6">
        <f>Encode_tbl[[#This Row],[error]]^2</f>
        <v>5.0473100501400386E-2</v>
      </c>
      <c r="P201" s="7"/>
      <c r="Q201" s="7"/>
    </row>
    <row r="202" spans="1:17" x14ac:dyDescent="0.35">
      <c r="A202" t="s">
        <v>11</v>
      </c>
      <c r="B202" t="s">
        <v>22</v>
      </c>
      <c r="C202" t="s">
        <v>23</v>
      </c>
      <c r="D202" t="s">
        <v>24</v>
      </c>
      <c r="E202">
        <v>4</v>
      </c>
      <c r="F202">
        <v>3</v>
      </c>
      <c r="G202">
        <v>18.71</v>
      </c>
      <c r="H202">
        <f>IF(Encode_tbl[[#This Row],[sex]]="Male",1,0)</f>
        <v>1</v>
      </c>
      <c r="I202">
        <f>IF(Encode_tbl[[#This Row],[smoker]]="Yes",1,0)</f>
        <v>1</v>
      </c>
      <c r="J202">
        <f>IF(Encode_tbl[[#This Row],[day]]="Fri",1,0)</f>
        <v>0</v>
      </c>
      <c r="K202">
        <f>IF(Encode_tbl[[#This Row],[day]]="Sat",1,0)</f>
        <v>0</v>
      </c>
      <c r="L202">
        <f>IF(Encode_tbl[[#This Row],[day]]="Sun",1,0)</f>
        <v>0</v>
      </c>
      <c r="M202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2.8917761264251958</v>
      </c>
      <c r="N202" s="6">
        <f>Encode_tbl[[#This Row],[tip]]-Encode_tbl[[#This Row],[predicted Tip]]</f>
        <v>1.1082238735748042</v>
      </c>
      <c r="O202" s="6">
        <f>Encode_tbl[[#This Row],[error]]^2</f>
        <v>1.2281601539611438</v>
      </c>
      <c r="P202" s="7"/>
      <c r="Q202" s="7"/>
    </row>
    <row r="203" spans="1:17" x14ac:dyDescent="0.35">
      <c r="A203" t="s">
        <v>7</v>
      </c>
      <c r="B203" t="s">
        <v>22</v>
      </c>
      <c r="C203" t="s">
        <v>23</v>
      </c>
      <c r="D203" t="s">
        <v>24</v>
      </c>
      <c r="E203">
        <v>2.0099999999999998</v>
      </c>
      <c r="F203">
        <v>2</v>
      </c>
      <c r="G203">
        <v>12.74</v>
      </c>
      <c r="H203">
        <f>IF(Encode_tbl[[#This Row],[sex]]="Male",1,0)</f>
        <v>0</v>
      </c>
      <c r="I203">
        <f>IF(Encode_tbl[[#This Row],[smoker]]="Yes",1,0)</f>
        <v>1</v>
      </c>
      <c r="J203">
        <f>IF(Encode_tbl[[#This Row],[day]]="Fri",1,0)</f>
        <v>0</v>
      </c>
      <c r="K203">
        <f>IF(Encode_tbl[[#This Row],[day]]="Sat",1,0)</f>
        <v>0</v>
      </c>
      <c r="L203">
        <f>IF(Encode_tbl[[#This Row],[day]]="Sun",1,0)</f>
        <v>0</v>
      </c>
      <c r="M203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2.1864021276472494</v>
      </c>
      <c r="N203" s="6">
        <f>Encode_tbl[[#This Row],[tip]]-Encode_tbl[[#This Row],[predicted Tip]]</f>
        <v>-0.17640212764724961</v>
      </c>
      <c r="O203" s="6">
        <f>Encode_tbl[[#This Row],[error]]^2</f>
        <v>3.1117710638476546E-2</v>
      </c>
      <c r="P203" s="7"/>
      <c r="Q203" s="7"/>
    </row>
    <row r="204" spans="1:17" x14ac:dyDescent="0.35">
      <c r="A204" t="s">
        <v>7</v>
      </c>
      <c r="B204" t="s">
        <v>22</v>
      </c>
      <c r="C204" t="s">
        <v>23</v>
      </c>
      <c r="D204" t="s">
        <v>24</v>
      </c>
      <c r="E204">
        <v>2.5</v>
      </c>
      <c r="F204">
        <v>2</v>
      </c>
      <c r="G204">
        <v>16.399999999999999</v>
      </c>
      <c r="H204">
        <f>IF(Encode_tbl[[#This Row],[sex]]="Male",1,0)</f>
        <v>0</v>
      </c>
      <c r="I204">
        <f>IF(Encode_tbl[[#This Row],[smoker]]="Yes",1,0)</f>
        <v>1</v>
      </c>
      <c r="J204">
        <f>IF(Encode_tbl[[#This Row],[day]]="Fri",1,0)</f>
        <v>0</v>
      </c>
      <c r="K204">
        <f>IF(Encode_tbl[[#This Row],[day]]="Sat",1,0)</f>
        <v>0</v>
      </c>
      <c r="L204">
        <f>IF(Encode_tbl[[#This Row],[day]]="Sun",1,0)</f>
        <v>0</v>
      </c>
      <c r="M204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2.5312996467626157</v>
      </c>
      <c r="N204" s="6">
        <f>Encode_tbl[[#This Row],[tip]]-Encode_tbl[[#This Row],[predicted Tip]]</f>
        <v>-3.1299646762615652E-2</v>
      </c>
      <c r="O204" s="6">
        <f>Encode_tbl[[#This Row],[error]]^2</f>
        <v>9.7966788746451641E-4</v>
      </c>
      <c r="P204" s="7"/>
      <c r="Q204" s="7"/>
    </row>
    <row r="205" spans="1:17" x14ac:dyDescent="0.35">
      <c r="A205" t="s">
        <v>11</v>
      </c>
      <c r="B205" t="s">
        <v>22</v>
      </c>
      <c r="C205" t="s">
        <v>23</v>
      </c>
      <c r="D205" t="s">
        <v>24</v>
      </c>
      <c r="E205">
        <v>4</v>
      </c>
      <c r="F205">
        <v>4</v>
      </c>
      <c r="G205">
        <v>20.53</v>
      </c>
      <c r="H205">
        <f>IF(Encode_tbl[[#This Row],[sex]]="Male",1,0)</f>
        <v>1</v>
      </c>
      <c r="I205">
        <f>IF(Encode_tbl[[#This Row],[smoker]]="Yes",1,0)</f>
        <v>1</v>
      </c>
      <c r="J205">
        <f>IF(Encode_tbl[[#This Row],[day]]="Fri",1,0)</f>
        <v>0</v>
      </c>
      <c r="K205">
        <f>IF(Encode_tbl[[#This Row],[day]]="Sat",1,0)</f>
        <v>0</v>
      </c>
      <c r="L205">
        <f>IF(Encode_tbl[[#This Row],[day]]="Sun",1,0)</f>
        <v>0</v>
      </c>
      <c r="M205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3.240378144318885</v>
      </c>
      <c r="N205" s="6">
        <f>Encode_tbl[[#This Row],[tip]]-Encode_tbl[[#This Row],[predicted Tip]]</f>
        <v>0.75962185568111495</v>
      </c>
      <c r="O205" s="6">
        <f>Encode_tbl[[#This Row],[error]]^2</f>
        <v>0.57702536362842061</v>
      </c>
      <c r="P205" s="7"/>
      <c r="Q205" s="7"/>
    </row>
    <row r="206" spans="1:17" x14ac:dyDescent="0.35">
      <c r="A206" t="s">
        <v>7</v>
      </c>
      <c r="B206" t="s">
        <v>22</v>
      </c>
      <c r="C206" t="s">
        <v>23</v>
      </c>
      <c r="D206" t="s">
        <v>24</v>
      </c>
      <c r="E206">
        <v>3.23</v>
      </c>
      <c r="F206">
        <v>3</v>
      </c>
      <c r="G206">
        <v>16.47</v>
      </c>
      <c r="H206">
        <f>IF(Encode_tbl[[#This Row],[sex]]="Male",1,0)</f>
        <v>0</v>
      </c>
      <c r="I206">
        <f>IF(Encode_tbl[[#This Row],[smoker]]="Yes",1,0)</f>
        <v>1</v>
      </c>
      <c r="J206">
        <f>IF(Encode_tbl[[#This Row],[day]]="Fri",1,0)</f>
        <v>0</v>
      </c>
      <c r="K206">
        <f>IF(Encode_tbl[[#This Row],[day]]="Sat",1,0)</f>
        <v>0</v>
      </c>
      <c r="L206">
        <f>IF(Encode_tbl[[#This Row],[day]]="Sun",1,0)</f>
        <v>0</v>
      </c>
      <c r="M206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2.7149916486858432</v>
      </c>
      <c r="N206" s="6">
        <f>Encode_tbl[[#This Row],[tip]]-Encode_tbl[[#This Row],[predicted Tip]]</f>
        <v>0.51500835131415679</v>
      </c>
      <c r="O206" s="6">
        <f>Encode_tbl[[#This Row],[error]]^2</f>
        <v>0.26523360192332596</v>
      </c>
      <c r="P206" s="7"/>
      <c r="Q206" s="7"/>
    </row>
    <row r="207" spans="1:17" x14ac:dyDescent="0.35">
      <c r="A207" t="s">
        <v>11</v>
      </c>
      <c r="B207" t="s">
        <v>22</v>
      </c>
      <c r="C207" t="s">
        <v>21</v>
      </c>
      <c r="D207" t="s">
        <v>10</v>
      </c>
      <c r="E207">
        <v>3.41</v>
      </c>
      <c r="F207">
        <v>3</v>
      </c>
      <c r="G207">
        <v>26.59</v>
      </c>
      <c r="H207">
        <f>IF(Encode_tbl[[#This Row],[sex]]="Male",1,0)</f>
        <v>1</v>
      </c>
      <c r="I207">
        <f>IF(Encode_tbl[[#This Row],[smoker]]="Yes",1,0)</f>
        <v>1</v>
      </c>
      <c r="J207">
        <f>IF(Encode_tbl[[#This Row],[day]]="Fri",1,0)</f>
        <v>0</v>
      </c>
      <c r="K207">
        <f>IF(Encode_tbl[[#This Row],[day]]="Sat",1,0)</f>
        <v>1</v>
      </c>
      <c r="L207">
        <f>IF(Encode_tbl[[#This Row],[day]]="Sun",1,0)</f>
        <v>0</v>
      </c>
      <c r="M207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3.6047143916743569</v>
      </c>
      <c r="N207" s="6">
        <f>Encode_tbl[[#This Row],[tip]]-Encode_tbl[[#This Row],[predicted Tip]]</f>
        <v>-0.19471439167435678</v>
      </c>
      <c r="O207" s="6">
        <f>Encode_tbl[[#This Row],[error]]^2</f>
        <v>3.7913694325114822E-2</v>
      </c>
      <c r="P207" s="7"/>
      <c r="Q207" s="7"/>
    </row>
    <row r="208" spans="1:17" x14ac:dyDescent="0.35">
      <c r="A208" t="s">
        <v>11</v>
      </c>
      <c r="B208" t="s">
        <v>22</v>
      </c>
      <c r="C208" t="s">
        <v>21</v>
      </c>
      <c r="D208" t="s">
        <v>10</v>
      </c>
      <c r="E208">
        <v>3</v>
      </c>
      <c r="F208">
        <v>4</v>
      </c>
      <c r="G208">
        <v>38.729999999999997</v>
      </c>
      <c r="H208">
        <f>IF(Encode_tbl[[#This Row],[sex]]="Male",1,0)</f>
        <v>1</v>
      </c>
      <c r="I208">
        <f>IF(Encode_tbl[[#This Row],[smoker]]="Yes",1,0)</f>
        <v>1</v>
      </c>
      <c r="J208">
        <f>IF(Encode_tbl[[#This Row],[day]]="Fri",1,0)</f>
        <v>0</v>
      </c>
      <c r="K208">
        <f>IF(Encode_tbl[[#This Row],[day]]="Sat",1,0)</f>
        <v>1</v>
      </c>
      <c r="L208">
        <f>IF(Encode_tbl[[#This Row],[day]]="Sun",1,0)</f>
        <v>0</v>
      </c>
      <c r="M208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4.9258143323195709</v>
      </c>
      <c r="N208" s="6">
        <f>Encode_tbl[[#This Row],[tip]]-Encode_tbl[[#This Row],[predicted Tip]]</f>
        <v>-1.9258143323195709</v>
      </c>
      <c r="O208" s="6">
        <f>Encode_tbl[[#This Row],[error]]^2</f>
        <v>3.7087608425674747</v>
      </c>
      <c r="P208" s="7"/>
      <c r="Q208" s="7"/>
    </row>
    <row r="209" spans="1:17" x14ac:dyDescent="0.35">
      <c r="A209" t="s">
        <v>11</v>
      </c>
      <c r="B209" t="s">
        <v>22</v>
      </c>
      <c r="C209" t="s">
        <v>21</v>
      </c>
      <c r="D209" t="s">
        <v>10</v>
      </c>
      <c r="E209">
        <v>2.0299999999999998</v>
      </c>
      <c r="F209">
        <v>2</v>
      </c>
      <c r="G209">
        <v>24.27</v>
      </c>
      <c r="H209">
        <f>IF(Encode_tbl[[#This Row],[sex]]="Male",1,0)</f>
        <v>1</v>
      </c>
      <c r="I209">
        <f>IF(Encode_tbl[[#This Row],[smoker]]="Yes",1,0)</f>
        <v>1</v>
      </c>
      <c r="J209">
        <f>IF(Encode_tbl[[#This Row],[day]]="Fri",1,0)</f>
        <v>0</v>
      </c>
      <c r="K209">
        <f>IF(Encode_tbl[[#This Row],[day]]="Sat",1,0)</f>
        <v>1</v>
      </c>
      <c r="L209">
        <f>IF(Encode_tbl[[#This Row],[day]]="Sun",1,0)</f>
        <v>0</v>
      </c>
      <c r="M209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3.2089952263605359</v>
      </c>
      <c r="N209" s="6">
        <f>Encode_tbl[[#This Row],[tip]]-Encode_tbl[[#This Row],[predicted Tip]]</f>
        <v>-1.1789952263605361</v>
      </c>
      <c r="O209" s="6">
        <f>Encode_tbl[[#This Row],[error]]^2</f>
        <v>1.3900297437809317</v>
      </c>
      <c r="P209" s="7"/>
      <c r="Q209" s="7"/>
    </row>
    <row r="210" spans="1:17" x14ac:dyDescent="0.35">
      <c r="A210" t="s">
        <v>7</v>
      </c>
      <c r="B210" t="s">
        <v>22</v>
      </c>
      <c r="C210" t="s">
        <v>21</v>
      </c>
      <c r="D210" t="s">
        <v>10</v>
      </c>
      <c r="E210">
        <v>2.23</v>
      </c>
      <c r="F210">
        <v>2</v>
      </c>
      <c r="G210">
        <v>12.76</v>
      </c>
      <c r="H210">
        <f>IF(Encode_tbl[[#This Row],[sex]]="Male",1,0)</f>
        <v>0</v>
      </c>
      <c r="I210">
        <f>IF(Encode_tbl[[#This Row],[smoker]]="Yes",1,0)</f>
        <v>1</v>
      </c>
      <c r="J210">
        <f>IF(Encode_tbl[[#This Row],[day]]="Fri",1,0)</f>
        <v>0</v>
      </c>
      <c r="K210">
        <f>IF(Encode_tbl[[#This Row],[day]]="Sat",1,0)</f>
        <v>1</v>
      </c>
      <c r="L210">
        <f>IF(Encode_tbl[[#This Row],[day]]="Sun",1,0)</f>
        <v>0</v>
      </c>
      <c r="M210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2.1586588354519356</v>
      </c>
      <c r="N210" s="6">
        <f>Encode_tbl[[#This Row],[tip]]-Encode_tbl[[#This Row],[predicted Tip]]</f>
        <v>7.1341164548064384E-2</v>
      </c>
      <c r="O210" s="6">
        <f>Encode_tbl[[#This Row],[error]]^2</f>
        <v>5.0895617590739984E-3</v>
      </c>
      <c r="P210" s="7"/>
      <c r="Q210" s="7"/>
    </row>
    <row r="211" spans="1:17" x14ac:dyDescent="0.35">
      <c r="A211" t="s">
        <v>11</v>
      </c>
      <c r="B211" t="s">
        <v>22</v>
      </c>
      <c r="C211" t="s">
        <v>21</v>
      </c>
      <c r="D211" t="s">
        <v>10</v>
      </c>
      <c r="E211">
        <v>2</v>
      </c>
      <c r="F211">
        <v>3</v>
      </c>
      <c r="G211">
        <v>30.06</v>
      </c>
      <c r="H211">
        <f>IF(Encode_tbl[[#This Row],[sex]]="Male",1,0)</f>
        <v>1</v>
      </c>
      <c r="I211">
        <f>IF(Encode_tbl[[#This Row],[smoker]]="Yes",1,0)</f>
        <v>1</v>
      </c>
      <c r="J211">
        <f>IF(Encode_tbl[[#This Row],[day]]="Fri",1,0)</f>
        <v>0</v>
      </c>
      <c r="K211">
        <f>IF(Encode_tbl[[#This Row],[day]]="Sat",1,0)</f>
        <v>1</v>
      </c>
      <c r="L211">
        <f>IF(Encode_tbl[[#This Row],[day]]="Sun",1,0)</f>
        <v>0</v>
      </c>
      <c r="M211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3.9317073947700734</v>
      </c>
      <c r="N211" s="6">
        <f>Encode_tbl[[#This Row],[tip]]-Encode_tbl[[#This Row],[predicted Tip]]</f>
        <v>-1.9317073947700734</v>
      </c>
      <c r="O211" s="6">
        <f>Encode_tbl[[#This Row],[error]]^2</f>
        <v>3.7314934590093842</v>
      </c>
      <c r="P211" s="7"/>
      <c r="Q211" s="7"/>
    </row>
    <row r="212" spans="1:17" x14ac:dyDescent="0.35">
      <c r="A212" t="s">
        <v>11</v>
      </c>
      <c r="B212" t="s">
        <v>22</v>
      </c>
      <c r="C212" t="s">
        <v>21</v>
      </c>
      <c r="D212" t="s">
        <v>10</v>
      </c>
      <c r="E212">
        <v>5.16</v>
      </c>
      <c r="F212">
        <v>4</v>
      </c>
      <c r="G212">
        <v>25.89</v>
      </c>
      <c r="H212">
        <f>IF(Encode_tbl[[#This Row],[sex]]="Male",1,0)</f>
        <v>1</v>
      </c>
      <c r="I212">
        <f>IF(Encode_tbl[[#This Row],[smoker]]="Yes",1,0)</f>
        <v>1</v>
      </c>
      <c r="J212">
        <f>IF(Encode_tbl[[#This Row],[day]]="Fri",1,0)</f>
        <v>0</v>
      </c>
      <c r="K212">
        <f>IF(Encode_tbl[[#This Row],[day]]="Sat",1,0)</f>
        <v>1</v>
      </c>
      <c r="L212">
        <f>IF(Encode_tbl[[#This Row],[day]]="Sun",1,0)</f>
        <v>0</v>
      </c>
      <c r="M212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3.7158459865705806</v>
      </c>
      <c r="N212" s="6">
        <f>Encode_tbl[[#This Row],[tip]]-Encode_tbl[[#This Row],[predicted Tip]]</f>
        <v>1.4441540134294195</v>
      </c>
      <c r="O212" s="6">
        <f>Encode_tbl[[#This Row],[error]]^2</f>
        <v>2.0855808145043002</v>
      </c>
      <c r="P212" s="7"/>
      <c r="Q212" s="7"/>
    </row>
    <row r="213" spans="1:17" x14ac:dyDescent="0.35">
      <c r="A213" t="s">
        <v>11</v>
      </c>
      <c r="B213" t="s">
        <v>8</v>
      </c>
      <c r="C213" t="s">
        <v>21</v>
      </c>
      <c r="D213" t="s">
        <v>10</v>
      </c>
      <c r="E213">
        <v>9</v>
      </c>
      <c r="F213">
        <v>4</v>
      </c>
      <c r="G213">
        <v>48.33</v>
      </c>
      <c r="H213">
        <f>IF(Encode_tbl[[#This Row],[sex]]="Male",1,0)</f>
        <v>1</v>
      </c>
      <c r="I213">
        <f>IF(Encode_tbl[[#This Row],[smoker]]="Yes",1,0)</f>
        <v>0</v>
      </c>
      <c r="J213">
        <f>IF(Encode_tbl[[#This Row],[day]]="Fri",1,0)</f>
        <v>0</v>
      </c>
      <c r="K213">
        <f>IF(Encode_tbl[[#This Row],[day]]="Sat",1,0)</f>
        <v>1</v>
      </c>
      <c r="L213">
        <f>IF(Encode_tbl[[#This Row],[day]]="Sun",1,0)</f>
        <v>0</v>
      </c>
      <c r="M213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5.9121570054860841</v>
      </c>
      <c r="N213" s="6">
        <f>Encode_tbl[[#This Row],[tip]]-Encode_tbl[[#This Row],[predicted Tip]]</f>
        <v>3.0878429945139159</v>
      </c>
      <c r="O213" s="6">
        <f>Encode_tbl[[#This Row],[error]]^2</f>
        <v>9.5347743587686669</v>
      </c>
      <c r="P213" s="7"/>
      <c r="Q213" s="7"/>
    </row>
    <row r="214" spans="1:17" x14ac:dyDescent="0.35">
      <c r="A214" t="s">
        <v>7</v>
      </c>
      <c r="B214" t="s">
        <v>22</v>
      </c>
      <c r="C214" t="s">
        <v>21</v>
      </c>
      <c r="D214" t="s">
        <v>10</v>
      </c>
      <c r="E214">
        <v>2.5</v>
      </c>
      <c r="F214">
        <v>2</v>
      </c>
      <c r="G214">
        <v>13.27</v>
      </c>
      <c r="H214">
        <f>IF(Encode_tbl[[#This Row],[sex]]="Male",1,0)</f>
        <v>0</v>
      </c>
      <c r="I214">
        <f>IF(Encode_tbl[[#This Row],[smoker]]="Yes",1,0)</f>
        <v>1</v>
      </c>
      <c r="J214">
        <f>IF(Encode_tbl[[#This Row],[day]]="Fri",1,0)</f>
        <v>0</v>
      </c>
      <c r="K214">
        <f>IF(Encode_tbl[[#This Row],[day]]="Sat",1,0)</f>
        <v>1</v>
      </c>
      <c r="L214">
        <f>IF(Encode_tbl[[#This Row],[day]]="Sun",1,0)</f>
        <v>0</v>
      </c>
      <c r="M214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2.2067183258204701</v>
      </c>
      <c r="N214" s="6">
        <f>Encode_tbl[[#This Row],[tip]]-Encode_tbl[[#This Row],[predicted Tip]]</f>
        <v>0.29328167417952988</v>
      </c>
      <c r="O214" s="6">
        <f>Encode_tbl[[#This Row],[error]]^2</f>
        <v>8.6014140409547926E-2</v>
      </c>
      <c r="P214" s="7"/>
      <c r="Q214" s="7"/>
    </row>
    <row r="215" spans="1:17" x14ac:dyDescent="0.35">
      <c r="A215" t="s">
        <v>7</v>
      </c>
      <c r="B215" t="s">
        <v>22</v>
      </c>
      <c r="C215" t="s">
        <v>21</v>
      </c>
      <c r="D215" t="s">
        <v>10</v>
      </c>
      <c r="E215">
        <v>6.5</v>
      </c>
      <c r="F215">
        <v>3</v>
      </c>
      <c r="G215">
        <v>28.17</v>
      </c>
      <c r="H215">
        <f>IF(Encode_tbl[[#This Row],[sex]]="Male",1,0)</f>
        <v>0</v>
      </c>
      <c r="I215">
        <f>IF(Encode_tbl[[#This Row],[smoker]]="Yes",1,0)</f>
        <v>1</v>
      </c>
      <c r="J215">
        <f>IF(Encode_tbl[[#This Row],[day]]="Fri",1,0)</f>
        <v>0</v>
      </c>
      <c r="K215">
        <f>IF(Encode_tbl[[#This Row],[day]]="Sat",1,0)</f>
        <v>1</v>
      </c>
      <c r="L215">
        <f>IF(Encode_tbl[[#This Row],[day]]="Sun",1,0)</f>
        <v>0</v>
      </c>
      <c r="M215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3.7879049202248134</v>
      </c>
      <c r="N215" s="6">
        <f>Encode_tbl[[#This Row],[tip]]-Encode_tbl[[#This Row],[predicted Tip]]</f>
        <v>2.7120950797751866</v>
      </c>
      <c r="O215" s="6">
        <f>Encode_tbl[[#This Row],[error]]^2</f>
        <v>7.3554597217407753</v>
      </c>
      <c r="P215" s="7"/>
      <c r="Q215" s="7"/>
    </row>
    <row r="216" spans="1:17" x14ac:dyDescent="0.35">
      <c r="A216" t="s">
        <v>7</v>
      </c>
      <c r="B216" t="s">
        <v>22</v>
      </c>
      <c r="C216" t="s">
        <v>21</v>
      </c>
      <c r="D216" t="s">
        <v>10</v>
      </c>
      <c r="E216">
        <v>1.1000000000000001</v>
      </c>
      <c r="F216">
        <v>2</v>
      </c>
      <c r="G216">
        <v>12.9</v>
      </c>
      <c r="H216">
        <f>IF(Encode_tbl[[#This Row],[sex]]="Male",1,0)</f>
        <v>0</v>
      </c>
      <c r="I216">
        <f>IF(Encode_tbl[[#This Row],[smoker]]="Yes",1,0)</f>
        <v>1</v>
      </c>
      <c r="J216">
        <f>IF(Encode_tbl[[#This Row],[day]]="Fri",1,0)</f>
        <v>0</v>
      </c>
      <c r="K216">
        <f>IF(Encode_tbl[[#This Row],[day]]="Sat",1,0)</f>
        <v>1</v>
      </c>
      <c r="L216">
        <f>IF(Encode_tbl[[#This Row],[day]]="Sun",1,0)</f>
        <v>0</v>
      </c>
      <c r="M216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2.1718516367295724</v>
      </c>
      <c r="N216" s="6">
        <f>Encode_tbl[[#This Row],[tip]]-Encode_tbl[[#This Row],[predicted Tip]]</f>
        <v>-1.0718516367295723</v>
      </c>
      <c r="O216" s="6">
        <f>Encode_tbl[[#This Row],[error]]^2</f>
        <v>1.148865931159863</v>
      </c>
      <c r="P216" s="7"/>
      <c r="Q216" s="7"/>
    </row>
    <row r="217" spans="1:17" x14ac:dyDescent="0.35">
      <c r="A217" t="s">
        <v>11</v>
      </c>
      <c r="B217" t="s">
        <v>22</v>
      </c>
      <c r="C217" t="s">
        <v>21</v>
      </c>
      <c r="D217" t="s">
        <v>10</v>
      </c>
      <c r="E217">
        <v>3</v>
      </c>
      <c r="F217">
        <v>5</v>
      </c>
      <c r="G217">
        <v>28.15</v>
      </c>
      <c r="H217">
        <f>IF(Encode_tbl[[#This Row],[sex]]="Male",1,0)</f>
        <v>1</v>
      </c>
      <c r="I217">
        <f>IF(Encode_tbl[[#This Row],[smoker]]="Yes",1,0)</f>
        <v>1</v>
      </c>
      <c r="J217">
        <f>IF(Encode_tbl[[#This Row],[day]]="Fri",1,0)</f>
        <v>0</v>
      </c>
      <c r="K217">
        <f>IF(Encode_tbl[[#This Row],[day]]="Sat",1,0)</f>
        <v>1</v>
      </c>
      <c r="L217">
        <f>IF(Encode_tbl[[#This Row],[day]]="Sun",1,0)</f>
        <v>0</v>
      </c>
      <c r="M217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4.1059110941939858</v>
      </c>
      <c r="N217" s="6">
        <f>Encode_tbl[[#This Row],[tip]]-Encode_tbl[[#This Row],[predicted Tip]]</f>
        <v>-1.1059110941939858</v>
      </c>
      <c r="O217" s="6">
        <f>Encode_tbl[[#This Row],[error]]^2</f>
        <v>1.2230393482613389</v>
      </c>
      <c r="P217" s="7"/>
      <c r="Q217" s="7"/>
    </row>
    <row r="218" spans="1:17" x14ac:dyDescent="0.35">
      <c r="A218" t="s">
        <v>11</v>
      </c>
      <c r="B218" t="s">
        <v>22</v>
      </c>
      <c r="C218" t="s">
        <v>21</v>
      </c>
      <c r="D218" t="s">
        <v>10</v>
      </c>
      <c r="E218">
        <v>1.5</v>
      </c>
      <c r="F218">
        <v>2</v>
      </c>
      <c r="G218">
        <v>11.59</v>
      </c>
      <c r="H218">
        <f>IF(Encode_tbl[[#This Row],[sex]]="Male",1,0)</f>
        <v>1</v>
      </c>
      <c r="I218">
        <f>IF(Encode_tbl[[#This Row],[smoker]]="Yes",1,0)</f>
        <v>1</v>
      </c>
      <c r="J218">
        <f>IF(Encode_tbl[[#This Row],[day]]="Fri",1,0)</f>
        <v>0</v>
      </c>
      <c r="K218">
        <f>IF(Encode_tbl[[#This Row],[day]]="Sat",1,0)</f>
        <v>1</v>
      </c>
      <c r="L218">
        <f>IF(Encode_tbl[[#This Row],[day]]="Sun",1,0)</f>
        <v>0</v>
      </c>
      <c r="M218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2.0141043677859876</v>
      </c>
      <c r="N218" s="6">
        <f>Encode_tbl[[#This Row],[tip]]-Encode_tbl[[#This Row],[predicted Tip]]</f>
        <v>-0.51410436778598756</v>
      </c>
      <c r="O218" s="6">
        <f>Encode_tbl[[#This Row],[error]]^2</f>
        <v>0.26430330097662996</v>
      </c>
      <c r="P218" s="7"/>
      <c r="Q218" s="7"/>
    </row>
    <row r="219" spans="1:17" x14ac:dyDescent="0.35">
      <c r="A219" t="s">
        <v>11</v>
      </c>
      <c r="B219" t="s">
        <v>22</v>
      </c>
      <c r="C219" t="s">
        <v>21</v>
      </c>
      <c r="D219" t="s">
        <v>10</v>
      </c>
      <c r="E219">
        <v>1.44</v>
      </c>
      <c r="F219">
        <v>2</v>
      </c>
      <c r="G219">
        <v>7.74</v>
      </c>
      <c r="H219">
        <f>IF(Encode_tbl[[#This Row],[sex]]="Male",1,0)</f>
        <v>1</v>
      </c>
      <c r="I219">
        <f>IF(Encode_tbl[[#This Row],[smoker]]="Yes",1,0)</f>
        <v>1</v>
      </c>
      <c r="J219">
        <f>IF(Encode_tbl[[#This Row],[day]]="Fri",1,0)</f>
        <v>0</v>
      </c>
      <c r="K219">
        <f>IF(Encode_tbl[[#This Row],[day]]="Sat",1,0)</f>
        <v>1</v>
      </c>
      <c r="L219">
        <f>IF(Encode_tbl[[#This Row],[day]]="Sun",1,0)</f>
        <v>0</v>
      </c>
      <c r="M219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1.6513023326509708</v>
      </c>
      <c r="N219" s="6">
        <f>Encode_tbl[[#This Row],[tip]]-Encode_tbl[[#This Row],[predicted Tip]]</f>
        <v>-0.21130233265097087</v>
      </c>
      <c r="O219" s="6">
        <f>Encode_tbl[[#This Row],[error]]^2</f>
        <v>4.464867578374155E-2</v>
      </c>
      <c r="P219" s="7"/>
      <c r="Q219" s="7"/>
    </row>
    <row r="220" spans="1:17" x14ac:dyDescent="0.35">
      <c r="A220" t="s">
        <v>7</v>
      </c>
      <c r="B220" t="s">
        <v>22</v>
      </c>
      <c r="C220" t="s">
        <v>21</v>
      </c>
      <c r="D220" t="s">
        <v>10</v>
      </c>
      <c r="E220">
        <v>3.09</v>
      </c>
      <c r="F220">
        <v>4</v>
      </c>
      <c r="G220">
        <v>30.14</v>
      </c>
      <c r="H220">
        <f>IF(Encode_tbl[[#This Row],[sex]]="Male",1,0)</f>
        <v>0</v>
      </c>
      <c r="I220">
        <f>IF(Encode_tbl[[#This Row],[smoker]]="Yes",1,0)</f>
        <v>1</v>
      </c>
      <c r="J220">
        <f>IF(Encode_tbl[[#This Row],[day]]="Fri",1,0)</f>
        <v>0</v>
      </c>
      <c r="K220">
        <f>IF(Encode_tbl[[#This Row],[day]]="Sat",1,0)</f>
        <v>1</v>
      </c>
      <c r="L220">
        <f>IF(Encode_tbl[[#This Row],[day]]="Sun",1,0)</f>
        <v>0</v>
      </c>
      <c r="M220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4.1506420823445422</v>
      </c>
      <c r="N220" s="6">
        <f>Encode_tbl[[#This Row],[tip]]-Encode_tbl[[#This Row],[predicted Tip]]</f>
        <v>-1.0606420823445424</v>
      </c>
      <c r="O220" s="6">
        <f>Encode_tbl[[#This Row],[error]]^2</f>
        <v>1.124961626840167</v>
      </c>
      <c r="P220" s="7"/>
      <c r="Q220" s="7"/>
    </row>
    <row r="221" spans="1:17" x14ac:dyDescent="0.35">
      <c r="A221" t="s">
        <v>11</v>
      </c>
      <c r="B221" t="s">
        <v>22</v>
      </c>
      <c r="C221" t="s">
        <v>25</v>
      </c>
      <c r="D221" t="s">
        <v>24</v>
      </c>
      <c r="E221">
        <v>2.2000000000000002</v>
      </c>
      <c r="F221">
        <v>2</v>
      </c>
      <c r="G221">
        <v>12.16</v>
      </c>
      <c r="H221">
        <f>IF(Encode_tbl[[#This Row],[sex]]="Male",1,0)</f>
        <v>1</v>
      </c>
      <c r="I221">
        <f>IF(Encode_tbl[[#This Row],[smoker]]="Yes",1,0)</f>
        <v>1</v>
      </c>
      <c r="J221">
        <f>IF(Encode_tbl[[#This Row],[day]]="Fri",1,0)</f>
        <v>1</v>
      </c>
      <c r="K221">
        <f>IF(Encode_tbl[[#This Row],[day]]="Sat",1,0)</f>
        <v>0</v>
      </c>
      <c r="L221">
        <f>IF(Encode_tbl[[#This Row],[day]]="Sun",1,0)</f>
        <v>0</v>
      </c>
      <c r="M221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2.2122711273502667</v>
      </c>
      <c r="N221" s="6">
        <f>Encode_tbl[[#This Row],[tip]]-Encode_tbl[[#This Row],[predicted Tip]]</f>
        <v>-1.2271127350266475E-2</v>
      </c>
      <c r="O221" s="6">
        <f>Encode_tbl[[#This Row],[error]]^2</f>
        <v>1.5058056644645792E-4</v>
      </c>
      <c r="P221" s="7"/>
      <c r="Q221" s="7"/>
    </row>
    <row r="222" spans="1:17" x14ac:dyDescent="0.35">
      <c r="A222" t="s">
        <v>7</v>
      </c>
      <c r="B222" t="s">
        <v>22</v>
      </c>
      <c r="C222" t="s">
        <v>25</v>
      </c>
      <c r="D222" t="s">
        <v>24</v>
      </c>
      <c r="E222">
        <v>3.48</v>
      </c>
      <c r="F222">
        <v>2</v>
      </c>
      <c r="G222">
        <v>13.42</v>
      </c>
      <c r="H222">
        <f>IF(Encode_tbl[[#This Row],[sex]]="Male",1,0)</f>
        <v>0</v>
      </c>
      <c r="I222">
        <f>IF(Encode_tbl[[#This Row],[smoker]]="Yes",1,0)</f>
        <v>1</v>
      </c>
      <c r="J222">
        <f>IF(Encode_tbl[[#This Row],[day]]="Fri",1,0)</f>
        <v>1</v>
      </c>
      <c r="K222">
        <f>IF(Encode_tbl[[#This Row],[day]]="Sat",1,0)</f>
        <v>0</v>
      </c>
      <c r="L222">
        <f>IF(Encode_tbl[[#This Row],[day]]="Sun",1,0)</f>
        <v>0</v>
      </c>
      <c r="M222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2.365306681551838</v>
      </c>
      <c r="N222" s="6">
        <f>Encode_tbl[[#This Row],[tip]]-Encode_tbl[[#This Row],[predicted Tip]]</f>
        <v>1.114693318448162</v>
      </c>
      <c r="O222" s="6">
        <f>Encode_tbl[[#This Row],[error]]^2</f>
        <v>1.2425411941929756</v>
      </c>
      <c r="P222" s="7"/>
      <c r="Q222" s="7"/>
    </row>
    <row r="223" spans="1:17" x14ac:dyDescent="0.35">
      <c r="A223" t="s">
        <v>11</v>
      </c>
      <c r="B223" t="s">
        <v>22</v>
      </c>
      <c r="C223" t="s">
        <v>25</v>
      </c>
      <c r="D223" t="s">
        <v>24</v>
      </c>
      <c r="E223">
        <v>1.92</v>
      </c>
      <c r="F223">
        <v>1</v>
      </c>
      <c r="G223">
        <v>8.58</v>
      </c>
      <c r="H223">
        <f>IF(Encode_tbl[[#This Row],[sex]]="Male",1,0)</f>
        <v>1</v>
      </c>
      <c r="I223">
        <f>IF(Encode_tbl[[#This Row],[smoker]]="Yes",1,0)</f>
        <v>1</v>
      </c>
      <c r="J223">
        <f>IF(Encode_tbl[[#This Row],[day]]="Fri",1,0)</f>
        <v>1</v>
      </c>
      <c r="K223">
        <f>IF(Encode_tbl[[#This Row],[day]]="Sat",1,0)</f>
        <v>0</v>
      </c>
      <c r="L223">
        <f>IF(Encode_tbl[[#This Row],[day]]="Sun",1,0)</f>
        <v>0</v>
      </c>
      <c r="M223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1.6978167505377124</v>
      </c>
      <c r="N223" s="6">
        <f>Encode_tbl[[#This Row],[tip]]-Encode_tbl[[#This Row],[predicted Tip]]</f>
        <v>0.22218324946228751</v>
      </c>
      <c r="O223" s="6">
        <f>Encode_tbl[[#This Row],[error]]^2</f>
        <v>4.9365396341621084E-2</v>
      </c>
      <c r="P223" s="7"/>
      <c r="Q223" s="7"/>
    </row>
    <row r="224" spans="1:17" x14ac:dyDescent="0.35">
      <c r="A224" t="s">
        <v>7</v>
      </c>
      <c r="B224" t="s">
        <v>8</v>
      </c>
      <c r="C224" t="s">
        <v>25</v>
      </c>
      <c r="D224" t="s">
        <v>24</v>
      </c>
      <c r="E224">
        <v>3</v>
      </c>
      <c r="F224">
        <v>3</v>
      </c>
      <c r="G224">
        <v>15.98</v>
      </c>
      <c r="H224">
        <f>IF(Encode_tbl[[#This Row],[sex]]="Male",1,0)</f>
        <v>0</v>
      </c>
      <c r="I224">
        <f>IF(Encode_tbl[[#This Row],[smoker]]="Yes",1,0)</f>
        <v>0</v>
      </c>
      <c r="J224">
        <f>IF(Encode_tbl[[#This Row],[day]]="Fri",1,0)</f>
        <v>1</v>
      </c>
      <c r="K224">
        <f>IF(Encode_tbl[[#This Row],[day]]="Sat",1,0)</f>
        <v>0</v>
      </c>
      <c r="L224">
        <f>IF(Encode_tbl[[#This Row],[day]]="Sun",1,0)</f>
        <v>0</v>
      </c>
      <c r="M224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2.8653355203273008</v>
      </c>
      <c r="N224" s="6">
        <f>Encode_tbl[[#This Row],[tip]]-Encode_tbl[[#This Row],[predicted Tip]]</f>
        <v>0.13466447967269923</v>
      </c>
      <c r="O224" s="6">
        <f>Encode_tbl[[#This Row],[error]]^2</f>
        <v>1.8134522085518825E-2</v>
      </c>
      <c r="P224" s="7"/>
      <c r="Q224" s="7"/>
    </row>
    <row r="225" spans="1:17" x14ac:dyDescent="0.35">
      <c r="A225" t="s">
        <v>11</v>
      </c>
      <c r="B225" t="s">
        <v>22</v>
      </c>
      <c r="C225" t="s">
        <v>25</v>
      </c>
      <c r="D225" t="s">
        <v>24</v>
      </c>
      <c r="E225">
        <v>1.58</v>
      </c>
      <c r="F225">
        <v>2</v>
      </c>
      <c r="G225">
        <v>13.42</v>
      </c>
      <c r="H225">
        <f>IF(Encode_tbl[[#This Row],[sex]]="Male",1,0)</f>
        <v>1</v>
      </c>
      <c r="I225">
        <f>IF(Encode_tbl[[#This Row],[smoker]]="Yes",1,0)</f>
        <v>1</v>
      </c>
      <c r="J225">
        <f>IF(Encode_tbl[[#This Row],[day]]="Fri",1,0)</f>
        <v>1</v>
      </c>
      <c r="K225">
        <f>IF(Encode_tbl[[#This Row],[day]]="Sat",1,0)</f>
        <v>0</v>
      </c>
      <c r="L225">
        <f>IF(Encode_tbl[[#This Row],[day]]="Sun",1,0)</f>
        <v>0</v>
      </c>
      <c r="M225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2.331006338848999</v>
      </c>
      <c r="N225" s="6">
        <f>Encode_tbl[[#This Row],[tip]]-Encode_tbl[[#This Row],[predicted Tip]]</f>
        <v>-0.75100633884899892</v>
      </c>
      <c r="O225" s="6">
        <f>Encode_tbl[[#This Row],[error]]^2</f>
        <v>0.56401052099137738</v>
      </c>
      <c r="P225" s="7"/>
      <c r="Q225" s="7"/>
    </row>
    <row r="226" spans="1:17" x14ac:dyDescent="0.35">
      <c r="A226" t="s">
        <v>7</v>
      </c>
      <c r="B226" t="s">
        <v>22</v>
      </c>
      <c r="C226" t="s">
        <v>25</v>
      </c>
      <c r="D226" t="s">
        <v>24</v>
      </c>
      <c r="E226">
        <v>2.5</v>
      </c>
      <c r="F226">
        <v>2</v>
      </c>
      <c r="G226">
        <v>16.27</v>
      </c>
      <c r="H226">
        <f>IF(Encode_tbl[[#This Row],[sex]]="Male",1,0)</f>
        <v>0</v>
      </c>
      <c r="I226">
        <f>IF(Encode_tbl[[#This Row],[smoker]]="Yes",1,0)</f>
        <v>1</v>
      </c>
      <c r="J226">
        <f>IF(Encode_tbl[[#This Row],[day]]="Fri",1,0)</f>
        <v>1</v>
      </c>
      <c r="K226">
        <f>IF(Encode_tbl[[#This Row],[day]]="Sat",1,0)</f>
        <v>0</v>
      </c>
      <c r="L226">
        <f>IF(Encode_tbl[[#This Row],[day]]="Sun",1,0)</f>
        <v>0</v>
      </c>
      <c r="M226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2.6338744218465906</v>
      </c>
      <c r="N226" s="6">
        <f>Encode_tbl[[#This Row],[tip]]-Encode_tbl[[#This Row],[predicted Tip]]</f>
        <v>-0.1338744218465906</v>
      </c>
      <c r="O226" s="6">
        <f>Encode_tbl[[#This Row],[error]]^2</f>
        <v>1.7922360824758895E-2</v>
      </c>
      <c r="P226" s="7"/>
      <c r="Q226" s="7"/>
    </row>
    <row r="227" spans="1:17" x14ac:dyDescent="0.35">
      <c r="A227" t="s">
        <v>7</v>
      </c>
      <c r="B227" t="s">
        <v>22</v>
      </c>
      <c r="C227" t="s">
        <v>25</v>
      </c>
      <c r="D227" t="s">
        <v>24</v>
      </c>
      <c r="E227">
        <v>2</v>
      </c>
      <c r="F227">
        <v>2</v>
      </c>
      <c r="G227">
        <v>10.09</v>
      </c>
      <c r="H227">
        <f>IF(Encode_tbl[[#This Row],[sex]]="Male",1,0)</f>
        <v>0</v>
      </c>
      <c r="I227">
        <f>IF(Encode_tbl[[#This Row],[smoker]]="Yes",1,0)</f>
        <v>1</v>
      </c>
      <c r="J227">
        <f>IF(Encode_tbl[[#This Row],[day]]="Fri",1,0)</f>
        <v>1</v>
      </c>
      <c r="K227">
        <f>IF(Encode_tbl[[#This Row],[day]]="Sat",1,0)</f>
        <v>0</v>
      </c>
      <c r="L227">
        <f>IF(Encode_tbl[[#This Row],[day]]="Sun",1,0)</f>
        <v>0</v>
      </c>
      <c r="M227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2.0515064797337592</v>
      </c>
      <c r="N227" s="6">
        <f>Encode_tbl[[#This Row],[tip]]-Encode_tbl[[#This Row],[predicted Tip]]</f>
        <v>-5.1506479733759214E-2</v>
      </c>
      <c r="O227" s="6">
        <f>Encode_tbl[[#This Row],[error]]^2</f>
        <v>2.6529174545641488E-3</v>
      </c>
      <c r="P227" s="7"/>
      <c r="Q227" s="7"/>
    </row>
    <row r="228" spans="1:17" x14ac:dyDescent="0.35">
      <c r="A228" t="s">
        <v>11</v>
      </c>
      <c r="B228" t="s">
        <v>8</v>
      </c>
      <c r="C228" t="s">
        <v>21</v>
      </c>
      <c r="D228" t="s">
        <v>10</v>
      </c>
      <c r="E228">
        <v>3</v>
      </c>
      <c r="F228">
        <v>4</v>
      </c>
      <c r="G228">
        <v>20.45</v>
      </c>
      <c r="H228">
        <f>IF(Encode_tbl[[#This Row],[sex]]="Male",1,0)</f>
        <v>1</v>
      </c>
      <c r="I228">
        <f>IF(Encode_tbl[[#This Row],[smoker]]="Yes",1,0)</f>
        <v>0</v>
      </c>
      <c r="J228">
        <f>IF(Encode_tbl[[#This Row],[day]]="Fri",1,0)</f>
        <v>0</v>
      </c>
      <c r="K228">
        <f>IF(Encode_tbl[[#This Row],[day]]="Sat",1,0)</f>
        <v>1</v>
      </c>
      <c r="L228">
        <f>IF(Encode_tbl[[#This Row],[day]]="Sun",1,0)</f>
        <v>0</v>
      </c>
      <c r="M228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3.2849048653395228</v>
      </c>
      <c r="N228" s="6">
        <f>Encode_tbl[[#This Row],[tip]]-Encode_tbl[[#This Row],[predicted Tip]]</f>
        <v>-0.28490486533952275</v>
      </c>
      <c r="O228" s="6">
        <f>Encode_tbl[[#This Row],[error]]^2</f>
        <v>8.1170782294131591E-2</v>
      </c>
      <c r="P228" s="7"/>
      <c r="Q228" s="7"/>
    </row>
    <row r="229" spans="1:17" x14ac:dyDescent="0.35">
      <c r="A229" t="s">
        <v>11</v>
      </c>
      <c r="B229" t="s">
        <v>8</v>
      </c>
      <c r="C229" t="s">
        <v>21</v>
      </c>
      <c r="D229" t="s">
        <v>10</v>
      </c>
      <c r="E229">
        <v>2.72</v>
      </c>
      <c r="F229">
        <v>2</v>
      </c>
      <c r="G229">
        <v>13.28</v>
      </c>
      <c r="H229">
        <f>IF(Encode_tbl[[#This Row],[sex]]="Male",1,0)</f>
        <v>1</v>
      </c>
      <c r="I229">
        <f>IF(Encode_tbl[[#This Row],[smoker]]="Yes",1,0)</f>
        <v>0</v>
      </c>
      <c r="J229">
        <f>IF(Encode_tbl[[#This Row],[day]]="Fri",1,0)</f>
        <v>0</v>
      </c>
      <c r="K229">
        <f>IF(Encode_tbl[[#This Row],[day]]="Sat",1,0)</f>
        <v>1</v>
      </c>
      <c r="L229">
        <f>IF(Encode_tbl[[#This Row],[day]]="Sun",1,0)</f>
        <v>0</v>
      </c>
      <c r="M229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2.2550537687660119</v>
      </c>
      <c r="N229" s="6">
        <f>Encode_tbl[[#This Row],[tip]]-Encode_tbl[[#This Row],[predicted Tip]]</f>
        <v>0.46494623123398826</v>
      </c>
      <c r="O229" s="6">
        <f>Encode_tbl[[#This Row],[error]]^2</f>
        <v>0.21617499793868927</v>
      </c>
      <c r="P229" s="7"/>
      <c r="Q229" s="7"/>
    </row>
    <row r="230" spans="1:17" x14ac:dyDescent="0.35">
      <c r="A230" t="s">
        <v>7</v>
      </c>
      <c r="B230" t="s">
        <v>22</v>
      </c>
      <c r="C230" t="s">
        <v>21</v>
      </c>
      <c r="D230" t="s">
        <v>10</v>
      </c>
      <c r="E230">
        <v>2.88</v>
      </c>
      <c r="F230">
        <v>2</v>
      </c>
      <c r="G230">
        <v>22.12</v>
      </c>
      <c r="H230">
        <f>IF(Encode_tbl[[#This Row],[sex]]="Male",1,0)</f>
        <v>0</v>
      </c>
      <c r="I230">
        <f>IF(Encode_tbl[[#This Row],[smoker]]="Yes",1,0)</f>
        <v>1</v>
      </c>
      <c r="J230">
        <f>IF(Encode_tbl[[#This Row],[day]]="Fri",1,0)</f>
        <v>0</v>
      </c>
      <c r="K230">
        <f>IF(Encode_tbl[[#This Row],[day]]="Sat",1,0)</f>
        <v>1</v>
      </c>
      <c r="L230">
        <f>IF(Encode_tbl[[#This Row],[day]]="Sun",1,0)</f>
        <v>0</v>
      </c>
      <c r="M230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3.0406918351568075</v>
      </c>
      <c r="N230" s="6">
        <f>Encode_tbl[[#This Row],[tip]]-Encode_tbl[[#This Row],[predicted Tip]]</f>
        <v>-0.16069183515680763</v>
      </c>
      <c r="O230" s="6">
        <f>Encode_tbl[[#This Row],[error]]^2</f>
        <v>2.5821865886062636E-2</v>
      </c>
      <c r="P230" s="7"/>
      <c r="Q230" s="7"/>
    </row>
    <row r="231" spans="1:17" x14ac:dyDescent="0.35">
      <c r="A231" t="s">
        <v>11</v>
      </c>
      <c r="B231" t="s">
        <v>22</v>
      </c>
      <c r="C231" t="s">
        <v>21</v>
      </c>
      <c r="D231" t="s">
        <v>10</v>
      </c>
      <c r="E231">
        <v>2</v>
      </c>
      <c r="F231">
        <v>4</v>
      </c>
      <c r="G231">
        <v>24.01</v>
      </c>
      <c r="H231">
        <f>IF(Encode_tbl[[#This Row],[sex]]="Male",1,0)</f>
        <v>1</v>
      </c>
      <c r="I231">
        <f>IF(Encode_tbl[[#This Row],[smoker]]="Yes",1,0)</f>
        <v>1</v>
      </c>
      <c r="J231">
        <f>IF(Encode_tbl[[#This Row],[day]]="Fri",1,0)</f>
        <v>0</v>
      </c>
      <c r="K231">
        <f>IF(Encode_tbl[[#This Row],[day]]="Sat",1,0)</f>
        <v>1</v>
      </c>
      <c r="L231">
        <f>IF(Encode_tbl[[#This Row],[day]]="Sun",1,0)</f>
        <v>0</v>
      </c>
      <c r="M231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3.5386855122708845</v>
      </c>
      <c r="N231" s="6">
        <f>Encode_tbl[[#This Row],[tip]]-Encode_tbl[[#This Row],[predicted Tip]]</f>
        <v>-1.5386855122708845</v>
      </c>
      <c r="O231" s="6">
        <f>Encode_tbl[[#This Row],[error]]^2</f>
        <v>2.367553105672314</v>
      </c>
      <c r="P231" s="7"/>
      <c r="Q231" s="7"/>
    </row>
    <row r="232" spans="1:17" x14ac:dyDescent="0.35">
      <c r="A232" t="s">
        <v>11</v>
      </c>
      <c r="B232" t="s">
        <v>22</v>
      </c>
      <c r="C232" t="s">
        <v>21</v>
      </c>
      <c r="D232" t="s">
        <v>10</v>
      </c>
      <c r="E232">
        <v>3</v>
      </c>
      <c r="F232">
        <v>3</v>
      </c>
      <c r="G232">
        <v>15.69</v>
      </c>
      <c r="H232">
        <f>IF(Encode_tbl[[#This Row],[sex]]="Male",1,0)</f>
        <v>1</v>
      </c>
      <c r="I232">
        <f>IF(Encode_tbl[[#This Row],[smoker]]="Yes",1,0)</f>
        <v>1</v>
      </c>
      <c r="J232">
        <f>IF(Encode_tbl[[#This Row],[day]]="Fri",1,0)</f>
        <v>0</v>
      </c>
      <c r="K232">
        <f>IF(Encode_tbl[[#This Row],[day]]="Sat",1,0)</f>
        <v>1</v>
      </c>
      <c r="L232">
        <f>IF(Encode_tbl[[#This Row],[day]]="Sun",1,0)</f>
        <v>0</v>
      </c>
      <c r="M232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2.5775605779154787</v>
      </c>
      <c r="N232" s="6">
        <f>Encode_tbl[[#This Row],[tip]]-Encode_tbl[[#This Row],[predicted Tip]]</f>
        <v>0.42243942208452134</v>
      </c>
      <c r="O232" s="6">
        <f>Encode_tbl[[#This Row],[error]]^2</f>
        <v>0.17845506533110439</v>
      </c>
      <c r="P232" s="7"/>
      <c r="Q232" s="7"/>
    </row>
    <row r="233" spans="1:17" x14ac:dyDescent="0.35">
      <c r="A233" t="s">
        <v>11</v>
      </c>
      <c r="B233" t="s">
        <v>8</v>
      </c>
      <c r="C233" t="s">
        <v>21</v>
      </c>
      <c r="D233" t="s">
        <v>10</v>
      </c>
      <c r="E233">
        <v>3.39</v>
      </c>
      <c r="F233">
        <v>2</v>
      </c>
      <c r="G233">
        <v>11.61</v>
      </c>
      <c r="H233">
        <f>IF(Encode_tbl[[#This Row],[sex]]="Male",1,0)</f>
        <v>1</v>
      </c>
      <c r="I233">
        <f>IF(Encode_tbl[[#This Row],[smoker]]="Yes",1,0)</f>
        <v>0</v>
      </c>
      <c r="J233">
        <f>IF(Encode_tbl[[#This Row],[day]]="Fri",1,0)</f>
        <v>0</v>
      </c>
      <c r="K233">
        <f>IF(Encode_tbl[[#This Row],[day]]="Sat",1,0)</f>
        <v>1</v>
      </c>
      <c r="L233">
        <f>IF(Encode_tbl[[#This Row],[day]]="Sun",1,0)</f>
        <v>0</v>
      </c>
      <c r="M233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2.0976824963827712</v>
      </c>
      <c r="N233" s="6">
        <f>Encode_tbl[[#This Row],[tip]]-Encode_tbl[[#This Row],[predicted Tip]]</f>
        <v>1.292317503617229</v>
      </c>
      <c r="O233" s="6">
        <f>Encode_tbl[[#This Row],[error]]^2</f>
        <v>1.6700845301554665</v>
      </c>
      <c r="P233" s="7"/>
      <c r="Q233" s="7"/>
    </row>
    <row r="234" spans="1:17" x14ac:dyDescent="0.35">
      <c r="A234" t="s">
        <v>11</v>
      </c>
      <c r="B234" t="s">
        <v>8</v>
      </c>
      <c r="C234" t="s">
        <v>21</v>
      </c>
      <c r="D234" t="s">
        <v>10</v>
      </c>
      <c r="E234">
        <v>1.47</v>
      </c>
      <c r="F234">
        <v>2</v>
      </c>
      <c r="G234">
        <v>10.77</v>
      </c>
      <c r="H234">
        <f>IF(Encode_tbl[[#This Row],[sex]]="Male",1,0)</f>
        <v>1</v>
      </c>
      <c r="I234">
        <f>IF(Encode_tbl[[#This Row],[smoker]]="Yes",1,0)</f>
        <v>0</v>
      </c>
      <c r="J234">
        <f>IF(Encode_tbl[[#This Row],[day]]="Fri",1,0)</f>
        <v>0</v>
      </c>
      <c r="K234">
        <f>IF(Encode_tbl[[#This Row],[day]]="Sat",1,0)</f>
        <v>1</v>
      </c>
      <c r="L234">
        <f>IF(Encode_tbl[[#This Row],[day]]="Sun",1,0)</f>
        <v>0</v>
      </c>
      <c r="M234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2.0185256887169496</v>
      </c>
      <c r="N234" s="6">
        <f>Encode_tbl[[#This Row],[tip]]-Encode_tbl[[#This Row],[predicted Tip]]</f>
        <v>-0.54852568871694962</v>
      </c>
      <c r="O234" s="6">
        <f>Encode_tbl[[#This Row],[error]]^2</f>
        <v>0.30088043118240393</v>
      </c>
      <c r="P234" s="7"/>
      <c r="Q234" s="7"/>
    </row>
    <row r="235" spans="1:17" x14ac:dyDescent="0.35">
      <c r="A235" t="s">
        <v>11</v>
      </c>
      <c r="B235" t="s">
        <v>22</v>
      </c>
      <c r="C235" t="s">
        <v>21</v>
      </c>
      <c r="D235" t="s">
        <v>10</v>
      </c>
      <c r="E235">
        <v>3</v>
      </c>
      <c r="F235">
        <v>2</v>
      </c>
      <c r="G235">
        <v>15.53</v>
      </c>
      <c r="H235">
        <f>IF(Encode_tbl[[#This Row],[sex]]="Male",1,0)</f>
        <v>1</v>
      </c>
      <c r="I235">
        <f>IF(Encode_tbl[[#This Row],[smoker]]="Yes",1,0)</f>
        <v>1</v>
      </c>
      <c r="J235">
        <f>IF(Encode_tbl[[#This Row],[day]]="Fri",1,0)</f>
        <v>0</v>
      </c>
      <c r="K235">
        <f>IF(Encode_tbl[[#This Row],[day]]="Sat",1,0)</f>
        <v>1</v>
      </c>
      <c r="L235">
        <f>IF(Encode_tbl[[#This Row],[day]]="Sun",1,0)</f>
        <v>0</v>
      </c>
      <c r="M235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2.3853874894566278</v>
      </c>
      <c r="N235" s="6">
        <f>Encode_tbl[[#This Row],[tip]]-Encode_tbl[[#This Row],[predicted Tip]]</f>
        <v>0.61461251054337218</v>
      </c>
      <c r="O235" s="6">
        <f>Encode_tbl[[#This Row],[error]]^2</f>
        <v>0.37774853811642678</v>
      </c>
      <c r="P235" s="7"/>
      <c r="Q235" s="7"/>
    </row>
    <row r="236" spans="1:17" x14ac:dyDescent="0.35">
      <c r="A236" t="s">
        <v>11</v>
      </c>
      <c r="B236" t="s">
        <v>8</v>
      </c>
      <c r="C236" t="s">
        <v>21</v>
      </c>
      <c r="D236" t="s">
        <v>10</v>
      </c>
      <c r="E236">
        <v>1.25</v>
      </c>
      <c r="F236">
        <v>2</v>
      </c>
      <c r="G236">
        <v>10.07</v>
      </c>
      <c r="H236">
        <f>IF(Encode_tbl[[#This Row],[sex]]="Male",1,0)</f>
        <v>1</v>
      </c>
      <c r="I236">
        <f>IF(Encode_tbl[[#This Row],[smoker]]="Yes",1,0)</f>
        <v>0</v>
      </c>
      <c r="J236">
        <f>IF(Encode_tbl[[#This Row],[day]]="Fri",1,0)</f>
        <v>0</v>
      </c>
      <c r="K236">
        <f>IF(Encode_tbl[[#This Row],[day]]="Sat",1,0)</f>
        <v>1</v>
      </c>
      <c r="L236">
        <f>IF(Encode_tbl[[#This Row],[day]]="Sun",1,0)</f>
        <v>0</v>
      </c>
      <c r="M236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1.9525616823287641</v>
      </c>
      <c r="N236" s="6">
        <f>Encode_tbl[[#This Row],[tip]]-Encode_tbl[[#This Row],[predicted Tip]]</f>
        <v>-0.70256168232876415</v>
      </c>
      <c r="O236" s="6">
        <f>Encode_tbl[[#This Row],[error]]^2</f>
        <v>0.49359291747662332</v>
      </c>
      <c r="P236" s="7"/>
      <c r="Q236" s="7"/>
    </row>
    <row r="237" spans="1:17" x14ac:dyDescent="0.35">
      <c r="A237" t="s">
        <v>11</v>
      </c>
      <c r="B237" t="s">
        <v>22</v>
      </c>
      <c r="C237" t="s">
        <v>21</v>
      </c>
      <c r="D237" t="s">
        <v>10</v>
      </c>
      <c r="E237">
        <v>1</v>
      </c>
      <c r="F237">
        <v>2</v>
      </c>
      <c r="G237">
        <v>12.6</v>
      </c>
      <c r="H237">
        <f>IF(Encode_tbl[[#This Row],[sex]]="Male",1,0)</f>
        <v>1</v>
      </c>
      <c r="I237">
        <f>IF(Encode_tbl[[#This Row],[smoker]]="Yes",1,0)</f>
        <v>1</v>
      </c>
      <c r="J237">
        <f>IF(Encode_tbl[[#This Row],[day]]="Fri",1,0)</f>
        <v>0</v>
      </c>
      <c r="K237">
        <f>IF(Encode_tbl[[#This Row],[day]]="Sat",1,0)</f>
        <v>1</v>
      </c>
      <c r="L237">
        <f>IF(Encode_tbl[[#This Row],[day]]="Sun",1,0)</f>
        <v>0</v>
      </c>
      <c r="M237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2.1092810055746543</v>
      </c>
      <c r="N237" s="6">
        <f>Encode_tbl[[#This Row],[tip]]-Encode_tbl[[#This Row],[predicted Tip]]</f>
        <v>-1.1092810055746543</v>
      </c>
      <c r="O237" s="6">
        <f>Encode_tbl[[#This Row],[error]]^2</f>
        <v>1.2305043493287162</v>
      </c>
      <c r="P237" s="7"/>
      <c r="Q237" s="7"/>
    </row>
    <row r="238" spans="1:17" x14ac:dyDescent="0.35">
      <c r="A238" t="s">
        <v>11</v>
      </c>
      <c r="B238" t="s">
        <v>22</v>
      </c>
      <c r="C238" t="s">
        <v>21</v>
      </c>
      <c r="D238" t="s">
        <v>10</v>
      </c>
      <c r="E238">
        <v>1.17</v>
      </c>
      <c r="F238">
        <v>2</v>
      </c>
      <c r="G238">
        <v>32.83</v>
      </c>
      <c r="H238">
        <f>IF(Encode_tbl[[#This Row],[sex]]="Male",1,0)</f>
        <v>1</v>
      </c>
      <c r="I238">
        <f>IF(Encode_tbl[[#This Row],[smoker]]="Yes",1,0)</f>
        <v>1</v>
      </c>
      <c r="J238">
        <f>IF(Encode_tbl[[#This Row],[day]]="Fri",1,0)</f>
        <v>0</v>
      </c>
      <c r="K238">
        <f>IF(Encode_tbl[[#This Row],[day]]="Sat",1,0)</f>
        <v>1</v>
      </c>
      <c r="L238">
        <f>IF(Encode_tbl[[#This Row],[day]]="Sun",1,0)</f>
        <v>0</v>
      </c>
      <c r="M238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4.0156407901931956</v>
      </c>
      <c r="N238" s="6">
        <f>Encode_tbl[[#This Row],[tip]]-Encode_tbl[[#This Row],[predicted Tip]]</f>
        <v>-2.8456407901931957</v>
      </c>
      <c r="O238" s="6">
        <f>Encode_tbl[[#This Row],[error]]^2</f>
        <v>8.0976715068113556</v>
      </c>
      <c r="P238" s="7"/>
      <c r="Q238" s="7"/>
    </row>
    <row r="239" spans="1:17" x14ac:dyDescent="0.35">
      <c r="A239" t="s">
        <v>7</v>
      </c>
      <c r="B239" t="s">
        <v>8</v>
      </c>
      <c r="C239" t="s">
        <v>21</v>
      </c>
      <c r="D239" t="s">
        <v>10</v>
      </c>
      <c r="E239">
        <v>4.67</v>
      </c>
      <c r="F239">
        <v>3</v>
      </c>
      <c r="G239">
        <v>35.83</v>
      </c>
      <c r="H239">
        <f>IF(Encode_tbl[[#This Row],[sex]]="Male",1,0)</f>
        <v>0</v>
      </c>
      <c r="I239">
        <f>IF(Encode_tbl[[#This Row],[smoker]]="Yes",1,0)</f>
        <v>0</v>
      </c>
      <c r="J239">
        <f>IF(Encode_tbl[[#This Row],[day]]="Fri",1,0)</f>
        <v>0</v>
      </c>
      <c r="K239">
        <f>IF(Encode_tbl[[#This Row],[day]]="Sat",1,0)</f>
        <v>1</v>
      </c>
      <c r="L239">
        <f>IF(Encode_tbl[[#This Row],[day]]="Sun",1,0)</f>
        <v>0</v>
      </c>
      <c r="M239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4.5914330614012142</v>
      </c>
      <c r="N239" s="6">
        <f>Encode_tbl[[#This Row],[tip]]-Encode_tbl[[#This Row],[predicted Tip]]</f>
        <v>7.8566938598785718E-2</v>
      </c>
      <c r="O239" s="6">
        <f>Encode_tbl[[#This Row],[error]]^2</f>
        <v>6.1727638407853653E-3</v>
      </c>
      <c r="P239" s="7"/>
      <c r="Q239" s="7"/>
    </row>
    <row r="240" spans="1:17" x14ac:dyDescent="0.35">
      <c r="A240" t="s">
        <v>11</v>
      </c>
      <c r="B240" t="s">
        <v>8</v>
      </c>
      <c r="C240" t="s">
        <v>21</v>
      </c>
      <c r="D240" t="s">
        <v>10</v>
      </c>
      <c r="E240">
        <v>5.92</v>
      </c>
      <c r="F240">
        <v>3</v>
      </c>
      <c r="G240">
        <v>29.03</v>
      </c>
      <c r="H240">
        <f>IF(Encode_tbl[[#This Row],[sex]]="Male",1,0)</f>
        <v>1</v>
      </c>
      <c r="I240">
        <f>IF(Encode_tbl[[#This Row],[smoker]]="Yes",1,0)</f>
        <v>0</v>
      </c>
      <c r="J240">
        <f>IF(Encode_tbl[[#This Row],[day]]="Fri",1,0)</f>
        <v>0</v>
      </c>
      <c r="K240">
        <f>IF(Encode_tbl[[#This Row],[day]]="Sat",1,0)</f>
        <v>1</v>
      </c>
      <c r="L240">
        <f>IF(Encode_tbl[[#This Row],[day]]="Sun",1,0)</f>
        <v>0</v>
      </c>
      <c r="M240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3.91633951378458</v>
      </c>
      <c r="N240" s="6">
        <f>Encode_tbl[[#This Row],[tip]]-Encode_tbl[[#This Row],[predicted Tip]]</f>
        <v>2.0036604862154199</v>
      </c>
      <c r="O240" s="6">
        <f>Encode_tbl[[#This Row],[error]]^2</f>
        <v>4.0146553440210129</v>
      </c>
      <c r="P240" s="7"/>
      <c r="Q240" s="7"/>
    </row>
    <row r="241" spans="1:17" x14ac:dyDescent="0.35">
      <c r="A241" t="s">
        <v>7</v>
      </c>
      <c r="B241" t="s">
        <v>22</v>
      </c>
      <c r="C241" t="s">
        <v>21</v>
      </c>
      <c r="D241" t="s">
        <v>10</v>
      </c>
      <c r="E241">
        <v>2</v>
      </c>
      <c r="F241">
        <v>2</v>
      </c>
      <c r="G241">
        <v>27.18</v>
      </c>
      <c r="H241">
        <f>IF(Encode_tbl[[#This Row],[sex]]="Male",1,0)</f>
        <v>0</v>
      </c>
      <c r="I241">
        <f>IF(Encode_tbl[[#This Row],[smoker]]="Yes",1,0)</f>
        <v>1</v>
      </c>
      <c r="J241">
        <f>IF(Encode_tbl[[#This Row],[day]]="Fri",1,0)</f>
        <v>0</v>
      </c>
      <c r="K241">
        <f>IF(Encode_tbl[[#This Row],[day]]="Sat",1,0)</f>
        <v>1</v>
      </c>
      <c r="L241">
        <f>IF(Encode_tbl[[#This Row],[day]]="Sun",1,0)</f>
        <v>0</v>
      </c>
      <c r="M241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3.5175173670485433</v>
      </c>
      <c r="N241" s="6">
        <f>Encode_tbl[[#This Row],[tip]]-Encode_tbl[[#This Row],[predicted Tip]]</f>
        <v>-1.5175173670485433</v>
      </c>
      <c r="O241" s="6">
        <f>Encode_tbl[[#This Row],[error]]^2</f>
        <v>2.3028589592939435</v>
      </c>
      <c r="P241" s="7"/>
      <c r="Q241" s="7"/>
    </row>
    <row r="242" spans="1:17" x14ac:dyDescent="0.35">
      <c r="A242" t="s">
        <v>11</v>
      </c>
      <c r="B242" t="s">
        <v>22</v>
      </c>
      <c r="C242" t="s">
        <v>21</v>
      </c>
      <c r="D242" t="s">
        <v>10</v>
      </c>
      <c r="E242">
        <v>2</v>
      </c>
      <c r="F242">
        <v>2</v>
      </c>
      <c r="G242">
        <v>22.67</v>
      </c>
      <c r="H242">
        <f>IF(Encode_tbl[[#This Row],[sex]]="Male",1,0)</f>
        <v>1</v>
      </c>
      <c r="I242">
        <f>IF(Encode_tbl[[#This Row],[smoker]]="Yes",1,0)</f>
        <v>1</v>
      </c>
      <c r="J242">
        <f>IF(Encode_tbl[[#This Row],[day]]="Fri",1,0)</f>
        <v>0</v>
      </c>
      <c r="K242">
        <f>IF(Encode_tbl[[#This Row],[day]]="Sat",1,0)</f>
        <v>1</v>
      </c>
      <c r="L242">
        <f>IF(Encode_tbl[[#This Row],[day]]="Sun",1,0)</f>
        <v>0</v>
      </c>
      <c r="M242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3.0582203546161137</v>
      </c>
      <c r="N242" s="6">
        <f>Encode_tbl[[#This Row],[tip]]-Encode_tbl[[#This Row],[predicted Tip]]</f>
        <v>-1.0582203546161137</v>
      </c>
      <c r="O242" s="6">
        <f>Encode_tbl[[#This Row],[error]]^2</f>
        <v>1.1198303189238534</v>
      </c>
      <c r="P242" s="7"/>
      <c r="Q242" s="7"/>
    </row>
    <row r="243" spans="1:17" x14ac:dyDescent="0.35">
      <c r="A243" t="s">
        <v>11</v>
      </c>
      <c r="B243" t="s">
        <v>8</v>
      </c>
      <c r="C243" t="s">
        <v>21</v>
      </c>
      <c r="D243" t="s">
        <v>10</v>
      </c>
      <c r="E243">
        <v>1.75</v>
      </c>
      <c r="F243">
        <v>2</v>
      </c>
      <c r="G243">
        <v>17.82</v>
      </c>
      <c r="H243">
        <f>IF(Encode_tbl[[#This Row],[sex]]="Male",1,0)</f>
        <v>1</v>
      </c>
      <c r="I243">
        <f>IF(Encode_tbl[[#This Row],[smoker]]="Yes",1,0)</f>
        <v>0</v>
      </c>
      <c r="J243">
        <f>IF(Encode_tbl[[#This Row],[day]]="Fri",1,0)</f>
        <v>0</v>
      </c>
      <c r="K243">
        <f>IF(Encode_tbl[[#This Row],[day]]="Sat",1,0)</f>
        <v>1</v>
      </c>
      <c r="L243">
        <f>IF(Encode_tbl[[#This Row],[day]]="Sun",1,0)</f>
        <v>0</v>
      </c>
      <c r="M243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2.6828774673408109</v>
      </c>
      <c r="N243" s="6">
        <f>Encode_tbl[[#This Row],[tip]]-Encode_tbl[[#This Row],[predicted Tip]]</f>
        <v>-0.9328774673408109</v>
      </c>
      <c r="O243" s="6">
        <f>Encode_tbl[[#This Row],[error]]^2</f>
        <v>0.87026036907220572</v>
      </c>
      <c r="P243" s="7"/>
      <c r="Q243" s="7"/>
    </row>
    <row r="244" spans="1:17" x14ac:dyDescent="0.35">
      <c r="A244" t="s">
        <v>7</v>
      </c>
      <c r="B244" t="s">
        <v>8</v>
      </c>
      <c r="C244" t="s">
        <v>23</v>
      </c>
      <c r="D244" t="s">
        <v>10</v>
      </c>
      <c r="E244">
        <v>3</v>
      </c>
      <c r="F244">
        <v>2</v>
      </c>
      <c r="G244">
        <v>18.78</v>
      </c>
      <c r="H244">
        <f>IF(Encode_tbl[[#This Row],[sex]]="Male",1,0)</f>
        <v>0</v>
      </c>
      <c r="I244">
        <f>IF(Encode_tbl[[#This Row],[smoker]]="Yes",1,0)</f>
        <v>0</v>
      </c>
      <c r="J244">
        <f>IF(Encode_tbl[[#This Row],[day]]="Fri",1,0)</f>
        <v>0</v>
      </c>
      <c r="K244">
        <f>IF(Encode_tbl[[#This Row],[day]]="Sat",1,0)</f>
        <v>0</v>
      </c>
      <c r="L244">
        <f>IF(Encode_tbl[[#This Row],[day]]="Sun",1,0)</f>
        <v>0</v>
      </c>
      <c r="M244" s="8">
        <f>'Regression Results'!$B$17+'Regression Results'!$B$18*Encode_tbl[[#This Row],[size]]+'Regression Results'!$B$19*Encode_tbl[[#This Row],[total_bill]]+'Regression Results'!$B$20*Encode_tbl[[#This Row],[sex_encoded]]+'Regression Results'!$B$21*Encode_tbl[[#This Row],[smoker_encoded]]+'Regression Results'!$B$22*Encode_tbl[[#This Row],[fri_encoded]]+'Regression Results'!$B$23*Encode_tbl[[#This Row],[Sat_encoded]]+'Regression Results'!$B$24*Encode_tbl[[#This Row],[Sun_encoded]]</f>
        <v>2.8372707111824234</v>
      </c>
      <c r="N244" s="6">
        <f>Encode_tbl[[#This Row],[tip]]-Encode_tbl[[#This Row],[predicted Tip]]</f>
        <v>0.16272928881757664</v>
      </c>
      <c r="O244" s="6">
        <f>Encode_tbl[[#This Row],[error]]^2</f>
        <v>2.6480821439074275E-2</v>
      </c>
      <c r="P244" s="7"/>
      <c r="Q244" s="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2170F-64F0-4F19-A41D-7C2B6D927A1E}">
  <dimension ref="A1:I273"/>
  <sheetViews>
    <sheetView topLeftCell="A9" workbookViewId="0">
      <selection activeCell="K15" sqref="K15"/>
    </sheetView>
  </sheetViews>
  <sheetFormatPr defaultRowHeight="14.5" x14ac:dyDescent="0.35"/>
  <cols>
    <col min="1" max="1" width="17.26953125" bestFit="1" customWidth="1"/>
    <col min="2" max="2" width="12.453125" bestFit="1" customWidth="1"/>
    <col min="3" max="3" width="13.54296875" bestFit="1" customWidth="1"/>
    <col min="4" max="4" width="12.453125" bestFit="1" customWidth="1"/>
    <col min="5" max="5" width="11.81640625" bestFit="1" customWidth="1"/>
    <col min="6" max="6" width="12.453125" bestFit="1" customWidth="1"/>
    <col min="7" max="7" width="11.81640625" bestFit="1" customWidth="1"/>
    <col min="8" max="8" width="12.453125" bestFit="1" customWidth="1"/>
    <col min="9" max="9" width="12" bestFit="1" customWidth="1"/>
  </cols>
  <sheetData>
    <row r="1" spans="1:9" x14ac:dyDescent="0.35">
      <c r="A1" t="s">
        <v>32</v>
      </c>
    </row>
    <row r="2" spans="1:9" ht="15" thickBot="1" x14ac:dyDescent="0.4"/>
    <row r="3" spans="1:9" x14ac:dyDescent="0.35">
      <c r="A3" s="4" t="s">
        <v>33</v>
      </c>
      <c r="B3" s="4"/>
    </row>
    <row r="4" spans="1:9" x14ac:dyDescent="0.35">
      <c r="A4" t="s">
        <v>34</v>
      </c>
      <c r="B4">
        <v>0.68481782767455612</v>
      </c>
    </row>
    <row r="5" spans="1:9" x14ac:dyDescent="0.35">
      <c r="A5" t="s">
        <v>35</v>
      </c>
      <c r="B5">
        <v>0.46897545710089811</v>
      </c>
    </row>
    <row r="6" spans="1:9" x14ac:dyDescent="0.35">
      <c r="A6" t="s">
        <v>36</v>
      </c>
      <c r="B6">
        <v>0.45315770475922273</v>
      </c>
    </row>
    <row r="7" spans="1:9" x14ac:dyDescent="0.35">
      <c r="A7" t="s">
        <v>37</v>
      </c>
      <c r="B7">
        <v>1.0241921927506115</v>
      </c>
    </row>
    <row r="8" spans="1:9" ht="15" thickBot="1" x14ac:dyDescent="0.4">
      <c r="A8" s="2" t="s">
        <v>38</v>
      </c>
      <c r="B8" s="2">
        <v>243</v>
      </c>
    </row>
    <row r="10" spans="1:9" ht="15" thickBot="1" x14ac:dyDescent="0.4">
      <c r="A10" t="s">
        <v>39</v>
      </c>
    </row>
    <row r="11" spans="1:9" x14ac:dyDescent="0.35">
      <c r="A11" s="3"/>
      <c r="B11" s="3" t="s">
        <v>44</v>
      </c>
      <c r="C11" s="3" t="s">
        <v>45</v>
      </c>
      <c r="D11" s="3" t="s">
        <v>46</v>
      </c>
      <c r="E11" s="3" t="s">
        <v>47</v>
      </c>
      <c r="F11" s="3" t="s">
        <v>48</v>
      </c>
    </row>
    <row r="12" spans="1:9" x14ac:dyDescent="0.35">
      <c r="A12" t="s">
        <v>40</v>
      </c>
      <c r="B12">
        <v>7</v>
      </c>
      <c r="C12">
        <v>217.70394843040327</v>
      </c>
      <c r="D12">
        <v>31.100564061486182</v>
      </c>
      <c r="E12">
        <v>29.648678710519338</v>
      </c>
      <c r="F12">
        <v>3.6206819812400578E-29</v>
      </c>
    </row>
    <row r="13" spans="1:9" x14ac:dyDescent="0.35">
      <c r="A13" t="s">
        <v>41</v>
      </c>
      <c r="B13">
        <v>235</v>
      </c>
      <c r="C13">
        <v>246.5078672074568</v>
      </c>
      <c r="D13">
        <v>1.0489696476913055</v>
      </c>
    </row>
    <row r="14" spans="1:9" ht="15" thickBot="1" x14ac:dyDescent="0.4">
      <c r="A14" s="2" t="s">
        <v>42</v>
      </c>
      <c r="B14" s="2">
        <v>242</v>
      </c>
      <c r="C14" s="2">
        <v>464.21181563786007</v>
      </c>
      <c r="D14" s="2"/>
      <c r="E14" s="2"/>
      <c r="F14" s="2"/>
    </row>
    <row r="15" spans="1:9" ht="15" thickBot="1" x14ac:dyDescent="0.4"/>
    <row r="16" spans="1:9" x14ac:dyDescent="0.35">
      <c r="A16" s="3"/>
      <c r="B16" s="3" t="s">
        <v>49</v>
      </c>
      <c r="C16" s="3" t="s">
        <v>37</v>
      </c>
      <c r="D16" s="3" t="s">
        <v>50</v>
      </c>
      <c r="E16" s="3" t="s">
        <v>51</v>
      </c>
      <c r="F16" s="3" t="s">
        <v>52</v>
      </c>
      <c r="G16" s="3" t="s">
        <v>53</v>
      </c>
      <c r="H16" s="3" t="s">
        <v>54</v>
      </c>
      <c r="I16" s="3" t="s">
        <v>55</v>
      </c>
    </row>
    <row r="17" spans="1:9" x14ac:dyDescent="0.35">
      <c r="A17" t="s">
        <v>43</v>
      </c>
      <c r="B17">
        <v>0.71335945151344626</v>
      </c>
      <c r="C17">
        <v>0.23331452769761293</v>
      </c>
      <c r="D17">
        <v>3.0575012132891919</v>
      </c>
      <c r="E17">
        <v>2.4902497070236991E-3</v>
      </c>
      <c r="F17">
        <v>0.25370415282304848</v>
      </c>
      <c r="G17">
        <v>1.1730147502038442</v>
      </c>
      <c r="H17">
        <v>0.25370415282304848</v>
      </c>
      <c r="I17">
        <v>1.1730147502038442</v>
      </c>
    </row>
    <row r="18" spans="1:9" x14ac:dyDescent="0.35">
      <c r="A18" t="s">
        <v>4</v>
      </c>
      <c r="B18">
        <v>0.17709560128440865</v>
      </c>
      <c r="C18">
        <v>8.9283016171539567E-2</v>
      </c>
      <c r="D18">
        <v>1.983530674458339</v>
      </c>
      <c r="E18">
        <v>4.8472136418073748E-2</v>
      </c>
      <c r="F18">
        <v>1.1982327352125788E-3</v>
      </c>
      <c r="G18">
        <v>0.35299296983360473</v>
      </c>
      <c r="H18">
        <v>1.1982327352125788E-3</v>
      </c>
      <c r="I18">
        <v>0.35299296983360473</v>
      </c>
    </row>
    <row r="19" spans="1:9" x14ac:dyDescent="0.35">
      <c r="A19" t="s">
        <v>5</v>
      </c>
      <c r="B19">
        <v>9.4234294840264077E-2</v>
      </c>
      <c r="C19">
        <v>9.5294559431838982E-3</v>
      </c>
      <c r="D19">
        <v>9.8887381821274616</v>
      </c>
      <c r="E19">
        <v>1.6729912877477833E-19</v>
      </c>
      <c r="F19">
        <v>7.5460217798656887E-2</v>
      </c>
      <c r="G19">
        <v>0.11300837188187127</v>
      </c>
      <c r="H19">
        <v>7.5460217798656887E-2</v>
      </c>
      <c r="I19">
        <v>0.11300837188187127</v>
      </c>
    </row>
    <row r="20" spans="1:9" x14ac:dyDescent="0.35">
      <c r="A20" t="s">
        <v>26</v>
      </c>
      <c r="B20">
        <v>-3.4300342702839062E-2</v>
      </c>
      <c r="C20">
        <v>0.14190292483052674</v>
      </c>
      <c r="D20">
        <v>-0.24171695364139689</v>
      </c>
      <c r="E20">
        <v>0.80921028220396851</v>
      </c>
      <c r="F20">
        <v>-0.31386472277673438</v>
      </c>
      <c r="G20">
        <v>0.24526403737105629</v>
      </c>
      <c r="H20">
        <v>-0.31386472277673438</v>
      </c>
      <c r="I20">
        <v>0.24526403737105629</v>
      </c>
    </row>
    <row r="21" spans="1:9" x14ac:dyDescent="0.35">
      <c r="A21" t="s">
        <v>27</v>
      </c>
      <c r="B21">
        <v>-8.1693442699978344E-2</v>
      </c>
      <c r="C21">
        <v>0.14706103075848354</v>
      </c>
      <c r="D21">
        <v>-0.55550707266660226</v>
      </c>
      <c r="E21">
        <v>0.579076310913611</v>
      </c>
      <c r="F21">
        <v>-0.37141985916478609</v>
      </c>
      <c r="G21">
        <v>0.20803297376482938</v>
      </c>
      <c r="H21">
        <v>-0.37141985916478609</v>
      </c>
      <c r="I21">
        <v>0.20803297376482938</v>
      </c>
    </row>
    <row r="22" spans="1:9" x14ac:dyDescent="0.35">
      <c r="A22" t="s">
        <v>28</v>
      </c>
      <c r="B22">
        <v>0.11482523341320905</v>
      </c>
      <c r="C22">
        <v>0.28018774587451711</v>
      </c>
      <c r="D22">
        <v>0.40981532955632494</v>
      </c>
      <c r="E22">
        <v>0.68231474608606391</v>
      </c>
      <c r="F22">
        <v>-0.43717546405839591</v>
      </c>
      <c r="G22">
        <v>0.66682593088481401</v>
      </c>
      <c r="H22">
        <v>-0.43717546405839591</v>
      </c>
      <c r="I22">
        <v>0.66682593088481401</v>
      </c>
    </row>
    <row r="23" spans="1:9" x14ac:dyDescent="0.35">
      <c r="A23" t="s">
        <v>29</v>
      </c>
      <c r="B23">
        <v>-2.9627978092119579E-2</v>
      </c>
      <c r="C23">
        <v>0.17640268869966125</v>
      </c>
      <c r="D23">
        <v>-0.16795649947582955</v>
      </c>
      <c r="E23">
        <v>0.86676195474127904</v>
      </c>
      <c r="F23">
        <v>-0.37716069011047043</v>
      </c>
      <c r="G23">
        <v>0.31790473392623125</v>
      </c>
      <c r="H23">
        <v>-0.37716069011047043</v>
      </c>
      <c r="I23">
        <v>0.31790473392623125</v>
      </c>
    </row>
    <row r="24" spans="1:9" ht="15" thickBot="1" x14ac:dyDescent="0.4">
      <c r="A24" s="2" t="s">
        <v>30</v>
      </c>
      <c r="B24" s="2">
        <v>6.7491472412183146E-2</v>
      </c>
      <c r="C24" s="2">
        <v>0.182289808582693</v>
      </c>
      <c r="D24" s="2">
        <v>0.3702427082288951</v>
      </c>
      <c r="E24" s="2">
        <v>0.71153513299429083</v>
      </c>
      <c r="F24" s="2">
        <v>-0.29163951372550723</v>
      </c>
      <c r="G24" s="2">
        <v>0.42662245854987346</v>
      </c>
      <c r="H24" s="2">
        <v>-0.29163951372550723</v>
      </c>
      <c r="I24" s="2">
        <v>0.42662245854987346</v>
      </c>
    </row>
    <row r="28" spans="1:9" x14ac:dyDescent="0.35">
      <c r="A28" t="s">
        <v>56</v>
      </c>
    </row>
    <row r="29" spans="1:9" ht="15" thickBot="1" x14ac:dyDescent="0.4"/>
    <row r="30" spans="1:9" x14ac:dyDescent="0.35">
      <c r="A30" s="3" t="s">
        <v>57</v>
      </c>
      <c r="B30" s="3" t="s">
        <v>58</v>
      </c>
      <c r="C30" s="3" t="s">
        <v>59</v>
      </c>
    </row>
    <row r="31" spans="1:9" x14ac:dyDescent="0.35">
      <c r="A31">
        <v>1</v>
      </c>
      <c r="B31">
        <v>2.7360827958305332</v>
      </c>
      <c r="C31">
        <v>-1.7260827958305331</v>
      </c>
    </row>
    <row r="32" spans="1:9" x14ac:dyDescent="0.35">
      <c r="A32">
        <v>2</v>
      </c>
      <c r="B32">
        <v>2.252219993724347</v>
      </c>
      <c r="C32">
        <v>-0.59221999372434708</v>
      </c>
    </row>
    <row r="33" spans="1:3" x14ac:dyDescent="0.35">
      <c r="A33">
        <v>3</v>
      </c>
      <c r="B33">
        <v>3.2576999196699647</v>
      </c>
      <c r="C33">
        <v>0.24230008033003525</v>
      </c>
    </row>
    <row r="34" spans="1:3" x14ac:dyDescent="0.35">
      <c r="A34">
        <v>4</v>
      </c>
      <c r="B34">
        <v>3.332209885609061</v>
      </c>
      <c r="C34">
        <v>-2.2209885609060898E-2</v>
      </c>
    </row>
    <row r="35" spans="1:3" x14ac:dyDescent="0.35">
      <c r="A35">
        <v>5</v>
      </c>
      <c r="B35">
        <v>3.806454639185358</v>
      </c>
      <c r="C35">
        <v>-0.1964546391853581</v>
      </c>
    </row>
    <row r="36" spans="1:3" x14ac:dyDescent="0.35">
      <c r="A36">
        <v>6</v>
      </c>
      <c r="B36">
        <v>3.8381183028707033</v>
      </c>
      <c r="C36">
        <v>0.87188169712929664</v>
      </c>
    </row>
    <row r="37" spans="1:3" x14ac:dyDescent="0.35">
      <c r="A37">
        <v>7</v>
      </c>
      <c r="B37">
        <v>1.9271765495407238</v>
      </c>
      <c r="C37">
        <v>7.2823450459276184E-2</v>
      </c>
    </row>
    <row r="38" spans="1:3" x14ac:dyDescent="0.35">
      <c r="A38">
        <v>8</v>
      </c>
      <c r="B38">
        <v>3.9879508316667236</v>
      </c>
      <c r="C38">
        <v>-0.86795083166672349</v>
      </c>
    </row>
    <row r="39" spans="1:3" x14ac:dyDescent="0.35">
      <c r="A39">
        <v>9</v>
      </c>
      <c r="B39">
        <v>2.5180255781891794</v>
      </c>
      <c r="C39">
        <v>-0.55802557818917942</v>
      </c>
    </row>
    <row r="40" spans="1:3" x14ac:dyDescent="0.35">
      <c r="A40">
        <v>10</v>
      </c>
      <c r="B40">
        <v>2.493524661530711</v>
      </c>
      <c r="C40">
        <v>0.73647533846928903</v>
      </c>
    </row>
    <row r="41" spans="1:3" x14ac:dyDescent="0.35">
      <c r="A41">
        <v>11</v>
      </c>
      <c r="B41">
        <v>2.0685279918011199</v>
      </c>
      <c r="C41">
        <v>-0.35852799180111994</v>
      </c>
    </row>
    <row r="42" spans="1:3" x14ac:dyDescent="0.35">
      <c r="A42">
        <v>12</v>
      </c>
      <c r="B42">
        <v>4.8119345651309757</v>
      </c>
      <c r="C42">
        <v>0.18806543486902427</v>
      </c>
    </row>
    <row r="43" spans="1:3" x14ac:dyDescent="0.35">
      <c r="A43">
        <v>13</v>
      </c>
      <c r="B43">
        <v>2.5538346102284799</v>
      </c>
      <c r="C43">
        <v>-0.98383461022847984</v>
      </c>
    </row>
    <row r="44" spans="1:3" x14ac:dyDescent="0.35">
      <c r="A44">
        <v>14</v>
      </c>
      <c r="B44">
        <v>3.1916710402664918</v>
      </c>
      <c r="C44">
        <v>-0.19167104026649184</v>
      </c>
    </row>
    <row r="45" spans="1:3" x14ac:dyDescent="0.35">
      <c r="A45">
        <v>15</v>
      </c>
      <c r="B45">
        <v>2.532536718975563</v>
      </c>
      <c r="C45">
        <v>0.48746328102443703</v>
      </c>
    </row>
    <row r="46" spans="1:3" x14ac:dyDescent="0.35">
      <c r="A46">
        <v>16</v>
      </c>
      <c r="B46">
        <v>3.1343178664445066</v>
      </c>
      <c r="C46">
        <v>0.78568213355549332</v>
      </c>
    </row>
    <row r="47" spans="1:3" x14ac:dyDescent="0.35">
      <c r="A47">
        <v>17</v>
      </c>
      <c r="B47">
        <v>2.2855779934787832</v>
      </c>
      <c r="C47">
        <v>-0.61557799347878328</v>
      </c>
    </row>
    <row r="48" spans="1:3" x14ac:dyDescent="0.35">
      <c r="A48">
        <v>18</v>
      </c>
      <c r="B48">
        <v>2.8129140480239183</v>
      </c>
      <c r="C48">
        <v>0.89708595197608165</v>
      </c>
    </row>
    <row r="49" spans="1:3" x14ac:dyDescent="0.35">
      <c r="A49">
        <v>19</v>
      </c>
      <c r="B49">
        <v>2.9112937112181365</v>
      </c>
      <c r="C49">
        <v>0.58870628878186348</v>
      </c>
    </row>
    <row r="50" spans="1:3" x14ac:dyDescent="0.35">
      <c r="A50">
        <v>20</v>
      </c>
      <c r="B50">
        <v>3.1266561230231669</v>
      </c>
      <c r="C50">
        <v>0.22334387697683322</v>
      </c>
    </row>
    <row r="51" spans="1:3" x14ac:dyDescent="0.35">
      <c r="A51">
        <v>21</v>
      </c>
      <c r="B51">
        <v>2.6923008968248379</v>
      </c>
      <c r="C51">
        <v>1.3876991031751622</v>
      </c>
    </row>
    <row r="52" spans="1:3" x14ac:dyDescent="0.35">
      <c r="A52">
        <v>22</v>
      </c>
      <c r="B52">
        <v>2.9499365182991024</v>
      </c>
      <c r="C52">
        <v>-0.19993651829910242</v>
      </c>
    </row>
    <row r="53" spans="1:3" x14ac:dyDescent="0.35">
      <c r="A53">
        <v>23</v>
      </c>
      <c r="B53">
        <v>2.5239975056211086</v>
      </c>
      <c r="C53">
        <v>-0.2939975056211086</v>
      </c>
    </row>
    <row r="54" spans="1:3" x14ac:dyDescent="0.35">
      <c r="A54">
        <v>24</v>
      </c>
      <c r="B54">
        <v>5.0725294384593314</v>
      </c>
      <c r="C54">
        <v>2.5074705615406687</v>
      </c>
    </row>
    <row r="55" spans="1:3" x14ac:dyDescent="0.35">
      <c r="A55">
        <v>25</v>
      </c>
      <c r="B55">
        <v>2.8713460570213396</v>
      </c>
      <c r="C55">
        <v>0.30865394297866056</v>
      </c>
    </row>
    <row r="56" spans="1:3" x14ac:dyDescent="0.35">
      <c r="A56">
        <v>26</v>
      </c>
      <c r="B56">
        <v>3.0361263269612255</v>
      </c>
      <c r="C56">
        <v>-0.69612632696122567</v>
      </c>
    </row>
    <row r="57" spans="1:3" x14ac:dyDescent="0.35">
      <c r="A57">
        <v>27</v>
      </c>
      <c r="B57">
        <v>2.2635348553016357</v>
      </c>
      <c r="C57">
        <v>-0.26353485530163567</v>
      </c>
    </row>
    <row r="58" spans="1:3" x14ac:dyDescent="0.35">
      <c r="A58">
        <v>28</v>
      </c>
      <c r="B58">
        <v>2.1994555348102565</v>
      </c>
      <c r="C58">
        <v>-0.19945553481025646</v>
      </c>
    </row>
    <row r="59" spans="1:3" x14ac:dyDescent="0.35">
      <c r="A59">
        <v>29</v>
      </c>
      <c r="B59">
        <v>3.0485065313210358</v>
      </c>
      <c r="C59">
        <v>1.251493468678964</v>
      </c>
    </row>
    <row r="60" spans="1:3" x14ac:dyDescent="0.35">
      <c r="A60">
        <v>30</v>
      </c>
      <c r="B60">
        <v>2.8896265696013335</v>
      </c>
      <c r="C60">
        <v>0.11037343039866654</v>
      </c>
    </row>
    <row r="61" spans="1:3" x14ac:dyDescent="0.35">
      <c r="A61">
        <v>31</v>
      </c>
      <c r="B61">
        <v>1.9035598490118271</v>
      </c>
      <c r="C61">
        <v>-0.45355984901182711</v>
      </c>
    </row>
    <row r="62" spans="1:3" x14ac:dyDescent="0.35">
      <c r="A62">
        <v>32</v>
      </c>
      <c r="B62">
        <v>3.0870128461749684</v>
      </c>
      <c r="C62">
        <v>-0.58701284617496841</v>
      </c>
    </row>
    <row r="63" spans="1:3" x14ac:dyDescent="0.35">
      <c r="A63">
        <v>33</v>
      </c>
      <c r="B63">
        <v>2.4570911562845215</v>
      </c>
      <c r="C63">
        <v>0.54290884371547854</v>
      </c>
    </row>
    <row r="64" spans="1:3" x14ac:dyDescent="0.35">
      <c r="A64">
        <v>34</v>
      </c>
      <c r="B64">
        <v>3.3418214388040255</v>
      </c>
      <c r="C64">
        <v>-0.89182143880402531</v>
      </c>
    </row>
    <row r="65" spans="1:3" x14ac:dyDescent="0.35">
      <c r="A65">
        <v>35</v>
      </c>
      <c r="B65">
        <v>2.6791080955472006</v>
      </c>
      <c r="C65">
        <v>0.59089190445279938</v>
      </c>
    </row>
    <row r="66" spans="1:3" x14ac:dyDescent="0.35">
      <c r="A66">
        <v>36</v>
      </c>
      <c r="B66">
        <v>3.4479950684284675</v>
      </c>
      <c r="C66">
        <v>0.15200493157153261</v>
      </c>
    </row>
    <row r="67" spans="1:3" x14ac:dyDescent="0.35">
      <c r="A67">
        <v>37</v>
      </c>
      <c r="B67">
        <v>2.7176792834164205</v>
      </c>
      <c r="C67">
        <v>-0.71767928341642051</v>
      </c>
    </row>
    <row r="68" spans="1:3" x14ac:dyDescent="0.35">
      <c r="A68">
        <v>38</v>
      </c>
      <c r="B68">
        <v>2.8104048889202233</v>
      </c>
      <c r="C68">
        <v>0.25959511107977651</v>
      </c>
    </row>
    <row r="69" spans="1:3" x14ac:dyDescent="0.35">
      <c r="A69">
        <v>39</v>
      </c>
      <c r="B69">
        <v>2.9419569051362497</v>
      </c>
      <c r="C69">
        <v>-0.63195690513624969</v>
      </c>
    </row>
    <row r="70" spans="1:3" x14ac:dyDescent="0.35">
      <c r="A70">
        <v>40</v>
      </c>
      <c r="B70">
        <v>4.1274243342267702</v>
      </c>
      <c r="C70">
        <v>0.87257566577322976</v>
      </c>
    </row>
    <row r="71" spans="1:3" x14ac:dyDescent="0.35">
      <c r="A71">
        <v>41</v>
      </c>
      <c r="B71">
        <v>2.6922360238095493</v>
      </c>
      <c r="C71">
        <v>-0.45223602380954908</v>
      </c>
    </row>
    <row r="72" spans="1:3" x14ac:dyDescent="0.35">
      <c r="A72">
        <v>42</v>
      </c>
      <c r="B72">
        <v>2.7460725717026184</v>
      </c>
      <c r="C72">
        <v>-0.20607257170261839</v>
      </c>
    </row>
    <row r="73" spans="1:3" x14ac:dyDescent="0.35">
      <c r="A73">
        <v>43</v>
      </c>
      <c r="B73">
        <v>2.4143678538648889</v>
      </c>
      <c r="C73">
        <v>0.64563214613511111</v>
      </c>
    </row>
    <row r="74" spans="1:3" x14ac:dyDescent="0.35">
      <c r="A74">
        <v>44</v>
      </c>
      <c r="B74">
        <v>2.012929757845364</v>
      </c>
      <c r="C74">
        <v>-0.69292975784536393</v>
      </c>
    </row>
    <row r="75" spans="1:3" x14ac:dyDescent="0.35">
      <c r="A75">
        <v>45</v>
      </c>
      <c r="B75">
        <v>4.3196555495044526</v>
      </c>
      <c r="C75">
        <v>1.280344450495547</v>
      </c>
    </row>
    <row r="76" spans="1:3" x14ac:dyDescent="0.35">
      <c r="A76">
        <v>46</v>
      </c>
      <c r="B76">
        <v>2.8242870364200376</v>
      </c>
      <c r="C76">
        <v>0.17571296357996236</v>
      </c>
    </row>
    <row r="77" spans="1:3" x14ac:dyDescent="0.35">
      <c r="A77">
        <v>47</v>
      </c>
      <c r="B77">
        <v>3.1955701580906783</v>
      </c>
      <c r="C77">
        <v>1.8044298419093217</v>
      </c>
    </row>
    <row r="78" spans="1:3" x14ac:dyDescent="0.35">
      <c r="A78">
        <v>48</v>
      </c>
      <c r="B78">
        <v>4.5081241391849813</v>
      </c>
      <c r="C78">
        <v>1.4918758608150187</v>
      </c>
    </row>
    <row r="79" spans="1:3" x14ac:dyDescent="0.35">
      <c r="A79">
        <v>49</v>
      </c>
      <c r="B79">
        <v>3.9682265027655559</v>
      </c>
      <c r="C79">
        <v>-1.9182265027655561</v>
      </c>
    </row>
    <row r="80" spans="1:3" x14ac:dyDescent="0.35">
      <c r="A80">
        <v>50</v>
      </c>
      <c r="B80">
        <v>2.800728462709972</v>
      </c>
      <c r="C80">
        <v>0.199271537290028</v>
      </c>
    </row>
    <row r="81" spans="1:3" x14ac:dyDescent="0.35">
      <c r="A81">
        <v>51</v>
      </c>
      <c r="B81">
        <v>2.2824398410885189</v>
      </c>
      <c r="C81">
        <v>0.21756015891148106</v>
      </c>
    </row>
    <row r="82" spans="1:3" x14ac:dyDescent="0.35">
      <c r="A82">
        <v>52</v>
      </c>
      <c r="B82">
        <v>2.104713020400764</v>
      </c>
      <c r="C82">
        <v>0.49528697959923607</v>
      </c>
    </row>
    <row r="83" spans="1:3" x14ac:dyDescent="0.35">
      <c r="A83">
        <v>53</v>
      </c>
      <c r="B83">
        <v>4.769529132452857</v>
      </c>
      <c r="C83">
        <v>0.43047086754714314</v>
      </c>
    </row>
    <row r="84" spans="1:3" x14ac:dyDescent="0.35">
      <c r="A84">
        <v>54</v>
      </c>
      <c r="B84">
        <v>2.0374306745038329</v>
      </c>
      <c r="C84">
        <v>-0.47743067450383281</v>
      </c>
    </row>
    <row r="85" spans="1:3" x14ac:dyDescent="0.35">
      <c r="A85">
        <v>55</v>
      </c>
      <c r="B85">
        <v>3.8635615624775745</v>
      </c>
      <c r="C85">
        <v>0.47643843752242532</v>
      </c>
    </row>
    <row r="86" spans="1:3" x14ac:dyDescent="0.35">
      <c r="A86">
        <v>56</v>
      </c>
      <c r="B86">
        <v>2.9373681902283546</v>
      </c>
      <c r="C86">
        <v>0.57263180977164518</v>
      </c>
    </row>
    <row r="87" spans="1:3" x14ac:dyDescent="0.35">
      <c r="A87">
        <v>57</v>
      </c>
      <c r="B87">
        <v>4.857965640034581</v>
      </c>
      <c r="C87">
        <v>-1.857965640034581</v>
      </c>
    </row>
    <row r="88" spans="1:3" x14ac:dyDescent="0.35">
      <c r="A88">
        <v>58</v>
      </c>
      <c r="B88">
        <v>3.5266504027215184</v>
      </c>
      <c r="C88">
        <v>-2.0266504027215184</v>
      </c>
    </row>
    <row r="89" spans="1:3" x14ac:dyDescent="0.35">
      <c r="A89">
        <v>59</v>
      </c>
      <c r="B89">
        <v>1.9811223645918952</v>
      </c>
      <c r="C89">
        <v>-0.22112236459189516</v>
      </c>
    </row>
    <row r="90" spans="1:3" x14ac:dyDescent="0.35">
      <c r="A90">
        <v>60</v>
      </c>
      <c r="B90">
        <v>5.9065029477956683</v>
      </c>
      <c r="C90">
        <v>0.82349705220433211</v>
      </c>
    </row>
    <row r="91" spans="1:3" x14ac:dyDescent="0.35">
      <c r="A91">
        <v>61</v>
      </c>
      <c r="B91">
        <v>2.833942732896285</v>
      </c>
      <c r="C91">
        <v>0.37605726710371501</v>
      </c>
    </row>
    <row r="92" spans="1:3" x14ac:dyDescent="0.35">
      <c r="A92">
        <v>62</v>
      </c>
      <c r="B92">
        <v>2.2233045023313736</v>
      </c>
      <c r="C92">
        <v>-0.22330450233137356</v>
      </c>
    </row>
    <row r="93" spans="1:3" x14ac:dyDescent="0.35">
      <c r="A93">
        <v>63</v>
      </c>
      <c r="B93">
        <v>1.9603908197270368</v>
      </c>
      <c r="C93">
        <v>1.9609180272963211E-2</v>
      </c>
    </row>
    <row r="94" spans="1:3" x14ac:dyDescent="0.35">
      <c r="A94">
        <v>64</v>
      </c>
      <c r="B94">
        <v>2.9996653457845737</v>
      </c>
      <c r="C94">
        <v>0.76033465421542612</v>
      </c>
    </row>
    <row r="95" spans="1:3" x14ac:dyDescent="0.35">
      <c r="A95">
        <v>65</v>
      </c>
      <c r="B95">
        <v>2.8382991808119589</v>
      </c>
      <c r="C95">
        <v>-0.19829918081195874</v>
      </c>
    </row>
    <row r="96" spans="1:3" x14ac:dyDescent="0.35">
      <c r="A96">
        <v>66</v>
      </c>
      <c r="B96">
        <v>3.0729425749642161</v>
      </c>
      <c r="C96">
        <v>7.7057425035783833E-2</v>
      </c>
    </row>
    <row r="97" spans="1:3" x14ac:dyDescent="0.35">
      <c r="A97">
        <v>67</v>
      </c>
      <c r="B97">
        <v>2.5880768261124882</v>
      </c>
      <c r="C97">
        <v>-0.11807682611248804</v>
      </c>
    </row>
    <row r="98" spans="1:3" x14ac:dyDescent="0.35">
      <c r="A98">
        <v>68</v>
      </c>
      <c r="B98">
        <v>1.0684329171653677</v>
      </c>
      <c r="C98">
        <v>-6.8432917165367702E-2</v>
      </c>
    </row>
    <row r="99" spans="1:3" x14ac:dyDescent="0.35">
      <c r="A99">
        <v>69</v>
      </c>
      <c r="B99">
        <v>2.9099821179058476</v>
      </c>
      <c r="C99">
        <v>-0.89998211790584781</v>
      </c>
    </row>
    <row r="100" spans="1:3" x14ac:dyDescent="0.35">
      <c r="A100">
        <v>70</v>
      </c>
      <c r="B100">
        <v>2.336385656139691</v>
      </c>
      <c r="C100">
        <v>-0.2463856561396911</v>
      </c>
    </row>
    <row r="101" spans="1:3" x14ac:dyDescent="0.35">
      <c r="A101">
        <v>71</v>
      </c>
      <c r="B101">
        <v>2.1363185572672796</v>
      </c>
      <c r="C101">
        <v>-0.16631855726727962</v>
      </c>
    </row>
    <row r="102" spans="1:3" x14ac:dyDescent="0.35">
      <c r="A102">
        <v>72</v>
      </c>
      <c r="B102">
        <v>2.8235976901978606</v>
      </c>
      <c r="C102">
        <v>0.17640230980213945</v>
      </c>
    </row>
    <row r="103" spans="1:3" x14ac:dyDescent="0.35">
      <c r="A103">
        <v>73</v>
      </c>
      <c r="B103">
        <v>3.4873623926996591</v>
      </c>
      <c r="C103">
        <v>-0.34736239269965896</v>
      </c>
    </row>
    <row r="104" spans="1:3" x14ac:dyDescent="0.35">
      <c r="A104">
        <v>74</v>
      </c>
      <c r="B104">
        <v>3.3384722068520416</v>
      </c>
      <c r="C104">
        <v>1.6615277931479584</v>
      </c>
    </row>
    <row r="105" spans="1:3" x14ac:dyDescent="0.35">
      <c r="A105">
        <v>75</v>
      </c>
      <c r="B105">
        <v>2.425993838987234</v>
      </c>
      <c r="C105">
        <v>-0.2259938389872338</v>
      </c>
    </row>
    <row r="106" spans="1:3" x14ac:dyDescent="0.35">
      <c r="A106">
        <v>76</v>
      </c>
      <c r="B106">
        <v>1.9940247720584805</v>
      </c>
      <c r="C106">
        <v>-0.7440247720584805</v>
      </c>
    </row>
    <row r="107" spans="1:3" x14ac:dyDescent="0.35">
      <c r="A107">
        <v>77</v>
      </c>
      <c r="B107">
        <v>2.6106074541248594</v>
      </c>
      <c r="C107">
        <v>0.46939254587514068</v>
      </c>
    </row>
    <row r="108" spans="1:3" x14ac:dyDescent="0.35">
      <c r="A108">
        <v>78</v>
      </c>
      <c r="B108">
        <v>3.9506143336034243</v>
      </c>
      <c r="C108">
        <v>4.9385666396575711E-2</v>
      </c>
    </row>
    <row r="109" spans="1:3" x14ac:dyDescent="0.35">
      <c r="A109">
        <v>79</v>
      </c>
      <c r="B109">
        <v>3.1780228619438353</v>
      </c>
      <c r="C109">
        <v>-0.17802286194383532</v>
      </c>
    </row>
    <row r="110" spans="1:3" x14ac:dyDescent="0.35">
      <c r="A110">
        <v>80</v>
      </c>
      <c r="B110">
        <v>2.6625612691675902</v>
      </c>
      <c r="C110">
        <v>4.7438730832409792E-2</v>
      </c>
    </row>
    <row r="111" spans="1:3" x14ac:dyDescent="0.35">
      <c r="A111">
        <v>81</v>
      </c>
      <c r="B111">
        <v>2.78347156037418</v>
      </c>
      <c r="C111">
        <v>0.21652843962582002</v>
      </c>
    </row>
    <row r="112" spans="1:3" x14ac:dyDescent="0.35">
      <c r="A112">
        <v>82</v>
      </c>
      <c r="B112">
        <v>2.603193663418224</v>
      </c>
      <c r="C112">
        <v>0.79680633658177591</v>
      </c>
    </row>
    <row r="113" spans="1:3" x14ac:dyDescent="0.35">
      <c r="A113">
        <v>83</v>
      </c>
      <c r="B113">
        <v>1.8393944018393142</v>
      </c>
      <c r="C113">
        <v>-9.3944018393141704E-3</v>
      </c>
    </row>
    <row r="114" spans="1:3" x14ac:dyDescent="0.35">
      <c r="A114">
        <v>84</v>
      </c>
      <c r="B114">
        <v>4.0311336240592759</v>
      </c>
      <c r="C114">
        <v>0.96886637594072411</v>
      </c>
    </row>
    <row r="115" spans="1:3" x14ac:dyDescent="0.35">
      <c r="A115">
        <v>85</v>
      </c>
      <c r="B115">
        <v>2.5391143429268443</v>
      </c>
      <c r="C115">
        <v>-0.50911434292684454</v>
      </c>
    </row>
    <row r="116" spans="1:3" x14ac:dyDescent="0.35">
      <c r="A116">
        <v>86</v>
      </c>
      <c r="B116">
        <v>4.7039223459374782</v>
      </c>
      <c r="C116">
        <v>0.46607765406252177</v>
      </c>
    </row>
    <row r="117" spans="1:3" x14ac:dyDescent="0.35">
      <c r="A117">
        <v>87</v>
      </c>
      <c r="B117">
        <v>2.2611231731480657</v>
      </c>
      <c r="C117">
        <v>-0.26112317314806566</v>
      </c>
    </row>
    <row r="118" spans="1:3" x14ac:dyDescent="0.35">
      <c r="A118">
        <v>88</v>
      </c>
      <c r="B118">
        <v>2.7558532210594522</v>
      </c>
      <c r="C118">
        <v>1.2441467789405478</v>
      </c>
    </row>
    <row r="119" spans="1:3" x14ac:dyDescent="0.35">
      <c r="A119">
        <v>89</v>
      </c>
      <c r="B119">
        <v>3.3617797368823501</v>
      </c>
      <c r="C119">
        <v>2.4882202631176495</v>
      </c>
    </row>
    <row r="120" spans="1:3" x14ac:dyDescent="0.35">
      <c r="A120">
        <v>90</v>
      </c>
      <c r="B120">
        <v>3.0272479901994127</v>
      </c>
      <c r="C120">
        <v>-2.7247990199412708E-2</v>
      </c>
    </row>
    <row r="121" spans="1:3" x14ac:dyDescent="0.35">
      <c r="A121">
        <v>91</v>
      </c>
      <c r="B121">
        <v>3.7963496236151055</v>
      </c>
      <c r="C121">
        <v>-0.79634962361510553</v>
      </c>
    </row>
    <row r="122" spans="1:3" x14ac:dyDescent="0.35">
      <c r="A122">
        <v>92</v>
      </c>
      <c r="B122">
        <v>3.2674048357501726</v>
      </c>
      <c r="C122">
        <v>0.2325951642498274</v>
      </c>
    </row>
    <row r="123" spans="1:3" x14ac:dyDescent="0.35">
      <c r="A123">
        <v>93</v>
      </c>
      <c r="B123">
        <v>1.6425296401270129</v>
      </c>
      <c r="C123">
        <v>-0.64252964012701286</v>
      </c>
    </row>
    <row r="124" spans="1:3" x14ac:dyDescent="0.35">
      <c r="A124">
        <v>94</v>
      </c>
      <c r="B124">
        <v>2.6385861365886041</v>
      </c>
      <c r="C124">
        <v>1.6614138634113957</v>
      </c>
    </row>
    <row r="125" spans="1:3" x14ac:dyDescent="0.35">
      <c r="A125">
        <v>95</v>
      </c>
      <c r="B125">
        <v>3.3262060951114805</v>
      </c>
      <c r="C125">
        <v>-7.6206095111480465E-2</v>
      </c>
    </row>
    <row r="126" spans="1:3" x14ac:dyDescent="0.35">
      <c r="A126">
        <v>96</v>
      </c>
      <c r="B126">
        <v>5.2059649283948808</v>
      </c>
      <c r="C126">
        <v>-0.47596492839488036</v>
      </c>
    </row>
    <row r="127" spans="1:3" x14ac:dyDescent="0.35">
      <c r="A127">
        <v>97</v>
      </c>
      <c r="B127">
        <v>3.6370936653350592</v>
      </c>
      <c r="C127">
        <v>0.36290633466494082</v>
      </c>
    </row>
    <row r="128" spans="1:3" x14ac:dyDescent="0.35">
      <c r="A128">
        <v>98</v>
      </c>
      <c r="B128">
        <v>2.2000206690210318</v>
      </c>
      <c r="C128">
        <v>-0.70002066902103177</v>
      </c>
    </row>
    <row r="129" spans="1:3" x14ac:dyDescent="0.35">
      <c r="A129">
        <v>99</v>
      </c>
      <c r="B129">
        <v>3.0462446366866036</v>
      </c>
      <c r="C129">
        <v>-4.6244636686603613E-2</v>
      </c>
    </row>
    <row r="130" spans="1:3" x14ac:dyDescent="0.35">
      <c r="A130">
        <v>100</v>
      </c>
      <c r="B130">
        <v>2.3222348585023243</v>
      </c>
      <c r="C130">
        <v>-0.82223485850232425</v>
      </c>
    </row>
    <row r="131" spans="1:3" x14ac:dyDescent="0.35">
      <c r="A131">
        <v>101</v>
      </c>
      <c r="B131">
        <v>2.1702416912324911</v>
      </c>
      <c r="C131">
        <v>0.32975830876750889</v>
      </c>
    </row>
    <row r="132" spans="1:3" x14ac:dyDescent="0.35">
      <c r="A132">
        <v>102</v>
      </c>
      <c r="B132">
        <v>2.5500058994387556</v>
      </c>
      <c r="C132">
        <v>0.44999410056124445</v>
      </c>
    </row>
    <row r="133" spans="1:3" x14ac:dyDescent="0.35">
      <c r="A133">
        <v>103</v>
      </c>
      <c r="B133">
        <v>5.3079040959982722</v>
      </c>
      <c r="C133">
        <v>-2.8079040959982722</v>
      </c>
    </row>
    <row r="134" spans="1:3" x14ac:dyDescent="0.35">
      <c r="A134">
        <v>104</v>
      </c>
      <c r="B134">
        <v>3.0689621236088866</v>
      </c>
      <c r="C134">
        <v>0.41103787639111333</v>
      </c>
    </row>
    <row r="135" spans="1:3" x14ac:dyDescent="0.35">
      <c r="A135">
        <v>105</v>
      </c>
      <c r="B135">
        <v>3.009304124048469</v>
      </c>
      <c r="C135">
        <v>1.070695875951531</v>
      </c>
    </row>
    <row r="136" spans="1:3" x14ac:dyDescent="0.35">
      <c r="A136">
        <v>106</v>
      </c>
      <c r="B136">
        <v>2.3693676593337831</v>
      </c>
      <c r="C136">
        <v>-0.72936765933378322</v>
      </c>
    </row>
    <row r="137" spans="1:3" x14ac:dyDescent="0.35">
      <c r="A137">
        <v>107</v>
      </c>
      <c r="B137">
        <v>2.8527895918643376</v>
      </c>
      <c r="C137">
        <v>1.207210408135662</v>
      </c>
    </row>
    <row r="138" spans="1:3" x14ac:dyDescent="0.35">
      <c r="A138">
        <v>108</v>
      </c>
      <c r="B138">
        <v>3.2975754635103844</v>
      </c>
      <c r="C138">
        <v>0.99242453648961559</v>
      </c>
    </row>
    <row r="139" spans="1:3" x14ac:dyDescent="0.35">
      <c r="A139">
        <v>109</v>
      </c>
      <c r="B139">
        <v>2.7224558711737217</v>
      </c>
      <c r="C139">
        <v>1.0375441288262781</v>
      </c>
    </row>
    <row r="140" spans="1:3" x14ac:dyDescent="0.35">
      <c r="A140">
        <v>110</v>
      </c>
      <c r="B140">
        <v>2.3047219924543447</v>
      </c>
      <c r="C140">
        <v>1.6952780075456553</v>
      </c>
    </row>
    <row r="141" spans="1:3" x14ac:dyDescent="0.35">
      <c r="A141">
        <v>111</v>
      </c>
      <c r="B141">
        <v>2.3229024610510023</v>
      </c>
      <c r="C141">
        <v>0.67709753894899771</v>
      </c>
    </row>
    <row r="142" spans="1:3" x14ac:dyDescent="0.35">
      <c r="A142">
        <v>112</v>
      </c>
      <c r="B142">
        <v>1.54402571229765</v>
      </c>
      <c r="C142">
        <v>-0.54402571229764995</v>
      </c>
    </row>
    <row r="143" spans="1:3" x14ac:dyDescent="0.35">
      <c r="A143">
        <v>113</v>
      </c>
      <c r="B143">
        <v>4.8653369896448702</v>
      </c>
      <c r="C143">
        <v>-0.86533698964487016</v>
      </c>
    </row>
    <row r="144" spans="1:3" x14ac:dyDescent="0.35">
      <c r="A144">
        <v>114</v>
      </c>
      <c r="B144">
        <v>3.3576531452159322</v>
      </c>
      <c r="C144">
        <v>-0.80765314521593234</v>
      </c>
    </row>
    <row r="145" spans="1:3" x14ac:dyDescent="0.35">
      <c r="A145">
        <v>115</v>
      </c>
      <c r="B145">
        <v>3.7349014481220446</v>
      </c>
      <c r="C145">
        <v>0.26509855187795539</v>
      </c>
    </row>
    <row r="146" spans="1:3" x14ac:dyDescent="0.35">
      <c r="A146">
        <v>116</v>
      </c>
      <c r="B146">
        <v>2.7662377701794179</v>
      </c>
      <c r="C146">
        <v>0.73376222982058215</v>
      </c>
    </row>
    <row r="147" spans="1:3" x14ac:dyDescent="0.35">
      <c r="A147">
        <v>117</v>
      </c>
      <c r="B147">
        <v>4.2753654309295284</v>
      </c>
      <c r="C147">
        <v>0.79463456907047192</v>
      </c>
    </row>
    <row r="148" spans="1:3" x14ac:dyDescent="0.35">
      <c r="A148">
        <v>118</v>
      </c>
      <c r="B148">
        <v>2.0711458941310763</v>
      </c>
      <c r="C148">
        <v>-0.5711458941310763</v>
      </c>
    </row>
    <row r="149" spans="1:3" x14ac:dyDescent="0.35">
      <c r="A149">
        <v>119</v>
      </c>
      <c r="B149">
        <v>2.2388829389467464</v>
      </c>
      <c r="C149">
        <v>-0.43888293894674635</v>
      </c>
    </row>
    <row r="150" spans="1:3" x14ac:dyDescent="0.35">
      <c r="A150">
        <v>120</v>
      </c>
      <c r="B150">
        <v>3.6909036764046395</v>
      </c>
      <c r="C150">
        <v>-0.77090367640463953</v>
      </c>
    </row>
    <row r="151" spans="1:3" x14ac:dyDescent="0.35">
      <c r="A151">
        <v>121</v>
      </c>
      <c r="B151">
        <v>2.1348492180621119</v>
      </c>
      <c r="C151">
        <v>0.17515078193788813</v>
      </c>
    </row>
    <row r="152" spans="1:3" x14ac:dyDescent="0.35">
      <c r="A152">
        <v>122</v>
      </c>
      <c r="B152">
        <v>2.3321748908386075</v>
      </c>
      <c r="C152">
        <v>-0.65217489083860758</v>
      </c>
    </row>
    <row r="153" spans="1:3" x14ac:dyDescent="0.35">
      <c r="A153">
        <v>123</v>
      </c>
      <c r="B153">
        <v>2.3770313558015901</v>
      </c>
      <c r="C153">
        <v>0.12296864419840992</v>
      </c>
    </row>
    <row r="154" spans="1:3" x14ac:dyDescent="0.35">
      <c r="A154">
        <v>124</v>
      </c>
      <c r="B154">
        <v>2.5362873140816364</v>
      </c>
      <c r="C154">
        <v>-0.53628731408163643</v>
      </c>
    </row>
    <row r="155" spans="1:3" x14ac:dyDescent="0.35">
      <c r="A155">
        <v>125</v>
      </c>
      <c r="B155">
        <v>2.2435946536887594</v>
      </c>
      <c r="C155">
        <v>0.27640534631124059</v>
      </c>
    </row>
    <row r="156" spans="1:3" x14ac:dyDescent="0.35">
      <c r="A156">
        <v>126</v>
      </c>
      <c r="B156">
        <v>4.5841150454597681</v>
      </c>
      <c r="C156">
        <v>-0.38411504545976793</v>
      </c>
    </row>
    <row r="157" spans="1:3" x14ac:dyDescent="0.35">
      <c r="A157">
        <v>127</v>
      </c>
      <c r="B157">
        <v>1.8361265034184746</v>
      </c>
      <c r="C157">
        <v>-0.35612650341847463</v>
      </c>
    </row>
    <row r="158" spans="1:3" x14ac:dyDescent="0.35">
      <c r="A158">
        <v>128</v>
      </c>
      <c r="B158">
        <v>2.435832615162898</v>
      </c>
      <c r="C158">
        <v>-0.43583261516289795</v>
      </c>
    </row>
    <row r="159" spans="1:3" x14ac:dyDescent="0.35">
      <c r="A159">
        <v>129</v>
      </c>
      <c r="B159">
        <v>2.139936929364469</v>
      </c>
      <c r="C159">
        <v>-0.139936929364469</v>
      </c>
    </row>
    <row r="160" spans="1:3" x14ac:dyDescent="0.35">
      <c r="A160">
        <v>130</v>
      </c>
      <c r="B160">
        <v>3.3607725209186596</v>
      </c>
      <c r="C160">
        <v>-1.1807725209186595</v>
      </c>
    </row>
    <row r="161" spans="1:3" x14ac:dyDescent="0.35">
      <c r="A161">
        <v>131</v>
      </c>
      <c r="B161">
        <v>2.831240656931663</v>
      </c>
      <c r="C161">
        <v>-1.331240656931663</v>
      </c>
    </row>
    <row r="162" spans="1:3" x14ac:dyDescent="0.35">
      <c r="A162">
        <v>132</v>
      </c>
      <c r="B162">
        <v>2.9776798104944167</v>
      </c>
      <c r="C162">
        <v>-0.14767981049441659</v>
      </c>
    </row>
    <row r="163" spans="1:3" x14ac:dyDescent="0.35">
      <c r="A163">
        <v>133</v>
      </c>
      <c r="B163">
        <v>2.1201477274480132</v>
      </c>
      <c r="C163">
        <v>-0.62014772744801316</v>
      </c>
    </row>
    <row r="164" spans="1:3" x14ac:dyDescent="0.35">
      <c r="A164">
        <v>134</v>
      </c>
      <c r="B164">
        <v>2.2228631088239013</v>
      </c>
      <c r="C164">
        <v>-0.22286310882390126</v>
      </c>
    </row>
    <row r="165" spans="1:3" x14ac:dyDescent="0.35">
      <c r="A165">
        <v>135</v>
      </c>
      <c r="B165">
        <v>2.7882688778654856</v>
      </c>
      <c r="C165">
        <v>0.46173112213451439</v>
      </c>
    </row>
    <row r="166" spans="1:3" x14ac:dyDescent="0.35">
      <c r="A166">
        <v>136</v>
      </c>
      <c r="B166">
        <v>1.8694845031729108</v>
      </c>
      <c r="C166">
        <v>-0.61948450317291082</v>
      </c>
    </row>
    <row r="167" spans="1:3" x14ac:dyDescent="0.35">
      <c r="A167">
        <v>137</v>
      </c>
      <c r="B167">
        <v>2.0409909197821916</v>
      </c>
      <c r="C167">
        <v>-4.0990919782191604E-2</v>
      </c>
    </row>
    <row r="168" spans="1:3" x14ac:dyDescent="0.35">
      <c r="A168">
        <v>138</v>
      </c>
      <c r="B168">
        <v>2.4009659260720007</v>
      </c>
      <c r="C168">
        <v>-0.40096592607200066</v>
      </c>
    </row>
    <row r="169" spans="1:3" x14ac:dyDescent="0.35">
      <c r="A169">
        <v>139</v>
      </c>
      <c r="B169">
        <v>2.4593055861236714</v>
      </c>
      <c r="C169">
        <v>-0.45930558612367145</v>
      </c>
    </row>
    <row r="170" spans="1:3" x14ac:dyDescent="0.35">
      <c r="A170">
        <v>140</v>
      </c>
      <c r="B170">
        <v>2.3076739741801386</v>
      </c>
      <c r="C170">
        <v>0.44232602581986136</v>
      </c>
    </row>
    <row r="171" spans="1:3" x14ac:dyDescent="0.35">
      <c r="A171">
        <v>141</v>
      </c>
      <c r="B171">
        <v>2.7138237849416771</v>
      </c>
      <c r="C171">
        <v>0.78617621505832291</v>
      </c>
    </row>
    <row r="172" spans="1:3" x14ac:dyDescent="0.35">
      <c r="A172">
        <v>142</v>
      </c>
      <c r="B172">
        <v>4.9738690295381156</v>
      </c>
      <c r="C172">
        <v>1.7261309704618846</v>
      </c>
    </row>
    <row r="173" spans="1:3" x14ac:dyDescent="0.35">
      <c r="A173">
        <v>143</v>
      </c>
      <c r="B173">
        <v>5.4460477197031274</v>
      </c>
      <c r="C173">
        <v>-0.4460477197031274</v>
      </c>
    </row>
    <row r="174" spans="1:3" x14ac:dyDescent="0.35">
      <c r="A174">
        <v>144</v>
      </c>
      <c r="B174">
        <v>4.3249707346490416</v>
      </c>
      <c r="C174">
        <v>0.67502926535095842</v>
      </c>
    </row>
    <row r="175" spans="1:3" x14ac:dyDescent="0.35">
      <c r="A175">
        <v>145</v>
      </c>
      <c r="B175">
        <v>2.6158201183078025</v>
      </c>
      <c r="C175">
        <v>-0.31582011830780266</v>
      </c>
    </row>
    <row r="176" spans="1:3" x14ac:dyDescent="0.35">
      <c r="A176">
        <v>146</v>
      </c>
      <c r="B176">
        <v>1.8544070159984687</v>
      </c>
      <c r="C176">
        <v>-0.35440701599846869</v>
      </c>
    </row>
    <row r="177" spans="1:3" x14ac:dyDescent="0.35">
      <c r="A177">
        <v>147</v>
      </c>
      <c r="B177">
        <v>3.0011735111891946</v>
      </c>
      <c r="C177">
        <v>-1.6411735111891945</v>
      </c>
    </row>
    <row r="178" spans="1:3" x14ac:dyDescent="0.35">
      <c r="A178">
        <v>148</v>
      </c>
      <c r="B178">
        <v>2.1861117338361984</v>
      </c>
      <c r="C178">
        <v>-0.5561117338361985</v>
      </c>
    </row>
    <row r="179" spans="1:3" x14ac:dyDescent="0.35">
      <c r="A179">
        <v>149</v>
      </c>
      <c r="B179">
        <v>1.9548617149172074</v>
      </c>
      <c r="C179">
        <v>-0.22486171491720741</v>
      </c>
    </row>
    <row r="180" spans="1:3" x14ac:dyDescent="0.35">
      <c r="A180">
        <v>150</v>
      </c>
      <c r="B180">
        <v>1.7409498656298079</v>
      </c>
      <c r="C180">
        <v>0.25905013437019209</v>
      </c>
    </row>
    <row r="181" spans="1:3" x14ac:dyDescent="0.35">
      <c r="A181">
        <v>151</v>
      </c>
      <c r="B181">
        <v>2.4266183121941234</v>
      </c>
      <c r="C181">
        <v>7.3381687805876616E-2</v>
      </c>
    </row>
    <row r="182" spans="1:3" x14ac:dyDescent="0.35">
      <c r="A182">
        <v>152</v>
      </c>
      <c r="B182">
        <v>2.3380380750442753</v>
      </c>
      <c r="C182">
        <v>-0.3380380750442753</v>
      </c>
    </row>
    <row r="183" spans="1:3" x14ac:dyDescent="0.35">
      <c r="A183">
        <v>153</v>
      </c>
      <c r="B183">
        <v>2.9043213140189743</v>
      </c>
      <c r="C183">
        <v>-0.1643213140189741</v>
      </c>
    </row>
    <row r="184" spans="1:3" x14ac:dyDescent="0.35">
      <c r="A184">
        <v>154</v>
      </c>
      <c r="B184">
        <v>3.7683849246889078</v>
      </c>
      <c r="C184">
        <v>-1.7683849246889078</v>
      </c>
    </row>
    <row r="185" spans="1:3" x14ac:dyDescent="0.35">
      <c r="A185">
        <v>155</v>
      </c>
      <c r="B185">
        <v>3.3179449953524456</v>
      </c>
      <c r="C185">
        <v>-1.3179449953524456</v>
      </c>
    </row>
    <row r="186" spans="1:3" x14ac:dyDescent="0.35">
      <c r="A186">
        <v>156</v>
      </c>
      <c r="B186">
        <v>4.4792226313295558</v>
      </c>
      <c r="C186">
        <v>0.6607773686704439</v>
      </c>
    </row>
    <row r="187" spans="1:3" x14ac:dyDescent="0.35">
      <c r="A187">
        <v>157</v>
      </c>
      <c r="B187">
        <v>6.3483901713847626</v>
      </c>
      <c r="C187">
        <v>-1.3483901713847626</v>
      </c>
    </row>
    <row r="188" spans="1:3" x14ac:dyDescent="0.35">
      <c r="A188">
        <v>158</v>
      </c>
      <c r="B188">
        <v>3.8450907000698655</v>
      </c>
      <c r="C188">
        <v>-9.509070006986553E-2</v>
      </c>
    </row>
    <row r="189" spans="1:3" x14ac:dyDescent="0.35">
      <c r="A189">
        <v>159</v>
      </c>
      <c r="B189">
        <v>2.3968393344055827</v>
      </c>
      <c r="C189">
        <v>0.21316066559441715</v>
      </c>
    </row>
    <row r="190" spans="1:3" x14ac:dyDescent="0.35">
      <c r="A190">
        <v>160</v>
      </c>
      <c r="B190">
        <v>3.0088565082763794</v>
      </c>
      <c r="C190">
        <v>-1.0088565082763794</v>
      </c>
    </row>
    <row r="191" spans="1:3" x14ac:dyDescent="0.35">
      <c r="A191">
        <v>161</v>
      </c>
      <c r="B191">
        <v>3.4809703254261031</v>
      </c>
      <c r="C191">
        <v>1.9029674573896926E-2</v>
      </c>
    </row>
    <row r="192" spans="1:3" x14ac:dyDescent="0.35">
      <c r="A192">
        <v>162</v>
      </c>
      <c r="B192">
        <v>2.293747956469351</v>
      </c>
      <c r="C192">
        <v>0.20625204353064897</v>
      </c>
    </row>
    <row r="193" spans="1:3" x14ac:dyDescent="0.35">
      <c r="A193">
        <v>163</v>
      </c>
      <c r="B193">
        <v>2.8396756471395359</v>
      </c>
      <c r="C193">
        <v>-0.83967564713953591</v>
      </c>
    </row>
    <row r="194" spans="1:3" x14ac:dyDescent="0.35">
      <c r="A194">
        <v>164</v>
      </c>
      <c r="B194">
        <v>2.4021173955356545</v>
      </c>
      <c r="C194">
        <v>-0.40211739553565451</v>
      </c>
    </row>
    <row r="195" spans="1:3" x14ac:dyDescent="0.35">
      <c r="A195">
        <v>165</v>
      </c>
      <c r="B195">
        <v>2.7033911864474924</v>
      </c>
      <c r="C195">
        <v>0.29660881355250757</v>
      </c>
    </row>
    <row r="196" spans="1:3" x14ac:dyDescent="0.35">
      <c r="A196">
        <v>166</v>
      </c>
      <c r="B196">
        <v>3.5884622945592914</v>
      </c>
      <c r="C196">
        <v>-0.10846229455929146</v>
      </c>
    </row>
    <row r="197" spans="1:3" x14ac:dyDescent="0.35">
      <c r="A197">
        <v>167</v>
      </c>
      <c r="B197">
        <v>3.0570457446754902</v>
      </c>
      <c r="C197">
        <v>-0.81704574467548996</v>
      </c>
    </row>
    <row r="198" spans="1:3" x14ac:dyDescent="0.35">
      <c r="A198">
        <v>168</v>
      </c>
      <c r="B198">
        <v>4.4431024757451993</v>
      </c>
      <c r="C198">
        <v>5.6897524254800658E-2</v>
      </c>
    </row>
    <row r="199" spans="1:3" x14ac:dyDescent="0.35">
      <c r="A199">
        <v>169</v>
      </c>
      <c r="B199">
        <v>1.9541704156485626</v>
      </c>
      <c r="C199">
        <v>-0.34417041564856254</v>
      </c>
    </row>
    <row r="200" spans="1:3" x14ac:dyDescent="0.35">
      <c r="A200">
        <v>170</v>
      </c>
      <c r="B200">
        <v>1.9579397874421729</v>
      </c>
      <c r="C200">
        <v>4.2060212557827104E-2</v>
      </c>
    </row>
    <row r="201" spans="1:3" x14ac:dyDescent="0.35">
      <c r="A201">
        <v>171</v>
      </c>
      <c r="B201">
        <v>5.8870690127055525</v>
      </c>
      <c r="C201">
        <v>4.1129309872944475</v>
      </c>
    </row>
    <row r="202" spans="1:3" x14ac:dyDescent="0.35">
      <c r="A202">
        <v>172</v>
      </c>
      <c r="B202">
        <v>2.4117730920119023</v>
      </c>
      <c r="C202">
        <v>0.74822690798809788</v>
      </c>
    </row>
    <row r="203" spans="1:3" x14ac:dyDescent="0.35">
      <c r="A203">
        <v>173</v>
      </c>
      <c r="B203">
        <v>1.7022469786835441</v>
      </c>
      <c r="C203">
        <v>3.4477530213164562</v>
      </c>
    </row>
    <row r="204" spans="1:3" x14ac:dyDescent="0.35">
      <c r="A204">
        <v>174</v>
      </c>
      <c r="B204">
        <v>4.0204106317540402</v>
      </c>
      <c r="C204">
        <v>-0.84041063175404007</v>
      </c>
    </row>
    <row r="205" spans="1:3" x14ac:dyDescent="0.35">
      <c r="A205">
        <v>175</v>
      </c>
      <c r="B205">
        <v>2.6040691803048714</v>
      </c>
      <c r="C205">
        <v>1.3959308196951286</v>
      </c>
    </row>
    <row r="206" spans="1:3" x14ac:dyDescent="0.35">
      <c r="A206">
        <v>176</v>
      </c>
      <c r="B206">
        <v>4.1193566413363172</v>
      </c>
      <c r="C206">
        <v>-1.0093566413363173</v>
      </c>
    </row>
    <row r="207" spans="1:3" x14ac:dyDescent="0.35">
      <c r="A207">
        <v>177</v>
      </c>
      <c r="B207">
        <v>2.704899875783954</v>
      </c>
      <c r="C207">
        <v>-0.70489987578395397</v>
      </c>
    </row>
    <row r="208" spans="1:3" x14ac:dyDescent="0.35">
      <c r="A208">
        <v>178</v>
      </c>
      <c r="B208">
        <v>2.3835609303786534</v>
      </c>
      <c r="C208">
        <v>-0.38356093037865335</v>
      </c>
    </row>
    <row r="209" spans="1:3" x14ac:dyDescent="0.35">
      <c r="A209">
        <v>179</v>
      </c>
      <c r="B209">
        <v>1.9579979142610038</v>
      </c>
      <c r="C209">
        <v>2.0420020857389964</v>
      </c>
    </row>
    <row r="210" spans="1:3" x14ac:dyDescent="0.35">
      <c r="A210">
        <v>180</v>
      </c>
      <c r="B210">
        <v>4.2823819714099747</v>
      </c>
      <c r="C210">
        <v>-0.73238197140997485</v>
      </c>
    </row>
    <row r="211" spans="1:3" x14ac:dyDescent="0.35">
      <c r="A211">
        <v>181</v>
      </c>
      <c r="B211">
        <v>4.6384578598755963</v>
      </c>
      <c r="C211">
        <v>-0.95845785987559617</v>
      </c>
    </row>
    <row r="212" spans="1:3" x14ac:dyDescent="0.35">
      <c r="A212">
        <v>182</v>
      </c>
      <c r="B212">
        <v>3.2175344397149899</v>
      </c>
      <c r="C212">
        <v>2.4324655602850105</v>
      </c>
    </row>
    <row r="213" spans="1:3" x14ac:dyDescent="0.35">
      <c r="A213">
        <v>183</v>
      </c>
      <c r="B213">
        <v>5.469669213382014</v>
      </c>
      <c r="C213">
        <v>-1.969669213382014</v>
      </c>
    </row>
    <row r="214" spans="1:3" x14ac:dyDescent="0.35">
      <c r="A214">
        <v>184</v>
      </c>
      <c r="B214">
        <v>3.5566481551093654</v>
      </c>
      <c r="C214">
        <v>2.9433518448906346</v>
      </c>
    </row>
    <row r="215" spans="1:3" x14ac:dyDescent="0.35">
      <c r="A215">
        <v>185</v>
      </c>
      <c r="B215">
        <v>4.8402489968643367</v>
      </c>
      <c r="C215">
        <v>-1.8402489968643367</v>
      </c>
    </row>
    <row r="216" spans="1:3" x14ac:dyDescent="0.35">
      <c r="A216">
        <v>186</v>
      </c>
      <c r="B216">
        <v>3.5817361478898979</v>
      </c>
      <c r="C216">
        <v>1.4182638521101021</v>
      </c>
    </row>
    <row r="217" spans="1:3" x14ac:dyDescent="0.35">
      <c r="A217">
        <v>187</v>
      </c>
      <c r="B217">
        <v>3.199941047240396</v>
      </c>
      <c r="C217">
        <v>0.30005895275960404</v>
      </c>
    </row>
    <row r="218" spans="1:3" x14ac:dyDescent="0.35">
      <c r="A218">
        <v>188</v>
      </c>
      <c r="B218">
        <v>4.4207117657792994</v>
      </c>
      <c r="C218">
        <v>-2.4207117657792994</v>
      </c>
    </row>
    <row r="219" spans="1:3" x14ac:dyDescent="0.35">
      <c r="A219">
        <v>189</v>
      </c>
      <c r="B219">
        <v>2.9407967364296694</v>
      </c>
      <c r="C219">
        <v>0.55920326357033057</v>
      </c>
    </row>
    <row r="220" spans="1:3" x14ac:dyDescent="0.35">
      <c r="A220">
        <v>190</v>
      </c>
      <c r="B220">
        <v>3.3729561531861383</v>
      </c>
      <c r="C220">
        <v>0.62704384681386172</v>
      </c>
    </row>
    <row r="221" spans="1:3" x14ac:dyDescent="0.35">
      <c r="A221">
        <v>191</v>
      </c>
      <c r="B221">
        <v>2.4975844271353727</v>
      </c>
      <c r="C221">
        <v>-0.99758442713537265</v>
      </c>
    </row>
    <row r="222" spans="1:3" x14ac:dyDescent="0.35">
      <c r="A222">
        <v>192</v>
      </c>
      <c r="B222">
        <v>2.8526385921679163</v>
      </c>
      <c r="C222">
        <v>1.3373614078320841</v>
      </c>
    </row>
    <row r="223" spans="1:3" x14ac:dyDescent="0.35">
      <c r="A223">
        <v>193</v>
      </c>
      <c r="B223">
        <v>3.6315802139365565</v>
      </c>
      <c r="C223">
        <v>-1.0715802139365564</v>
      </c>
    </row>
    <row r="224" spans="1:3" x14ac:dyDescent="0.35">
      <c r="A224">
        <v>194</v>
      </c>
      <c r="B224">
        <v>2.4103037528067341</v>
      </c>
      <c r="C224">
        <v>-0.39030375280673413</v>
      </c>
    </row>
    <row r="225" spans="1:3" x14ac:dyDescent="0.35">
      <c r="A225">
        <v>195</v>
      </c>
      <c r="B225">
        <v>2.5139614771310241</v>
      </c>
      <c r="C225">
        <v>1.4860385228689759</v>
      </c>
    </row>
    <row r="226" spans="1:3" x14ac:dyDescent="0.35">
      <c r="A226">
        <v>196</v>
      </c>
      <c r="B226">
        <v>1.745661580371821</v>
      </c>
      <c r="C226">
        <v>-0.30566158037182101</v>
      </c>
    </row>
    <row r="227" spans="1:3" x14ac:dyDescent="0.35">
      <c r="A227">
        <v>197</v>
      </c>
      <c r="B227">
        <v>1.9259394773277771</v>
      </c>
      <c r="C227">
        <v>7.406052267222285E-2</v>
      </c>
    </row>
    <row r="228" spans="1:3" x14ac:dyDescent="0.35">
      <c r="A228">
        <v>198</v>
      </c>
      <c r="B228">
        <v>5.4024888645148863</v>
      </c>
      <c r="C228">
        <v>-0.4024888645148863</v>
      </c>
    </row>
    <row r="229" spans="1:3" x14ac:dyDescent="0.35">
      <c r="A229">
        <v>199</v>
      </c>
      <c r="B229">
        <v>2.2109030443057183</v>
      </c>
      <c r="C229">
        <v>-0.21090304430571827</v>
      </c>
    </row>
    <row r="230" spans="1:3" x14ac:dyDescent="0.35">
      <c r="A230">
        <v>200</v>
      </c>
      <c r="B230">
        <v>2.2246621919714138</v>
      </c>
      <c r="C230">
        <v>-0.22466219197141379</v>
      </c>
    </row>
    <row r="231" spans="1:3" x14ac:dyDescent="0.35">
      <c r="A231">
        <v>201</v>
      </c>
      <c r="B231">
        <v>2.8917761264251958</v>
      </c>
      <c r="C231">
        <v>1.1082238735748042</v>
      </c>
    </row>
    <row r="232" spans="1:3" x14ac:dyDescent="0.35">
      <c r="A232">
        <v>202</v>
      </c>
      <c r="B232">
        <v>2.1864021276472494</v>
      </c>
      <c r="C232">
        <v>-0.17640212764724961</v>
      </c>
    </row>
    <row r="233" spans="1:3" x14ac:dyDescent="0.35">
      <c r="A233">
        <v>203</v>
      </c>
      <c r="B233">
        <v>2.5312996467626157</v>
      </c>
      <c r="C233">
        <v>-3.1299646762615652E-2</v>
      </c>
    </row>
    <row r="234" spans="1:3" x14ac:dyDescent="0.35">
      <c r="A234">
        <v>204</v>
      </c>
      <c r="B234">
        <v>3.240378144318885</v>
      </c>
      <c r="C234">
        <v>0.75962185568111495</v>
      </c>
    </row>
    <row r="235" spans="1:3" x14ac:dyDescent="0.35">
      <c r="A235">
        <v>205</v>
      </c>
      <c r="B235">
        <v>2.7149916486858432</v>
      </c>
      <c r="C235">
        <v>0.51500835131415679</v>
      </c>
    </row>
    <row r="236" spans="1:3" x14ac:dyDescent="0.35">
      <c r="A236">
        <v>206</v>
      </c>
      <c r="B236">
        <v>3.6047143916743569</v>
      </c>
      <c r="C236">
        <v>-0.19471439167435678</v>
      </c>
    </row>
    <row r="237" spans="1:3" x14ac:dyDescent="0.35">
      <c r="A237">
        <v>207</v>
      </c>
      <c r="B237">
        <v>4.9258143323195709</v>
      </c>
      <c r="C237">
        <v>-1.9258143323195709</v>
      </c>
    </row>
    <row r="238" spans="1:3" x14ac:dyDescent="0.35">
      <c r="A238">
        <v>208</v>
      </c>
      <c r="B238">
        <v>3.2089952263605359</v>
      </c>
      <c r="C238">
        <v>-1.1789952263605361</v>
      </c>
    </row>
    <row r="239" spans="1:3" x14ac:dyDescent="0.35">
      <c r="A239">
        <v>209</v>
      </c>
      <c r="B239">
        <v>2.1586588354519356</v>
      </c>
      <c r="C239">
        <v>7.1341164548064384E-2</v>
      </c>
    </row>
    <row r="240" spans="1:3" x14ac:dyDescent="0.35">
      <c r="A240">
        <v>210</v>
      </c>
      <c r="B240">
        <v>3.9317073947700734</v>
      </c>
      <c r="C240">
        <v>-1.9317073947700734</v>
      </c>
    </row>
    <row r="241" spans="1:3" x14ac:dyDescent="0.35">
      <c r="A241">
        <v>211</v>
      </c>
      <c r="B241">
        <v>3.7158459865705806</v>
      </c>
      <c r="C241">
        <v>1.4441540134294195</v>
      </c>
    </row>
    <row r="242" spans="1:3" x14ac:dyDescent="0.35">
      <c r="A242">
        <v>212</v>
      </c>
      <c r="B242">
        <v>5.9121570054860841</v>
      </c>
      <c r="C242">
        <v>3.0878429945139159</v>
      </c>
    </row>
    <row r="243" spans="1:3" x14ac:dyDescent="0.35">
      <c r="A243">
        <v>213</v>
      </c>
      <c r="B243">
        <v>2.2067183258204701</v>
      </c>
      <c r="C243">
        <v>0.29328167417952988</v>
      </c>
    </row>
    <row r="244" spans="1:3" x14ac:dyDescent="0.35">
      <c r="A244">
        <v>214</v>
      </c>
      <c r="B244">
        <v>3.7879049202248134</v>
      </c>
      <c r="C244">
        <v>2.7120950797751866</v>
      </c>
    </row>
    <row r="245" spans="1:3" x14ac:dyDescent="0.35">
      <c r="A245">
        <v>215</v>
      </c>
      <c r="B245">
        <v>2.1718516367295724</v>
      </c>
      <c r="C245">
        <v>-1.0718516367295723</v>
      </c>
    </row>
    <row r="246" spans="1:3" x14ac:dyDescent="0.35">
      <c r="A246">
        <v>216</v>
      </c>
      <c r="B246">
        <v>4.1059110941939858</v>
      </c>
      <c r="C246">
        <v>-1.1059110941939858</v>
      </c>
    </row>
    <row r="247" spans="1:3" x14ac:dyDescent="0.35">
      <c r="A247">
        <v>217</v>
      </c>
      <c r="B247">
        <v>2.0141043677859876</v>
      </c>
      <c r="C247">
        <v>-0.51410436778598756</v>
      </c>
    </row>
    <row r="248" spans="1:3" x14ac:dyDescent="0.35">
      <c r="A248">
        <v>218</v>
      </c>
      <c r="B248">
        <v>1.6513023326509708</v>
      </c>
      <c r="C248">
        <v>-0.21130233265097087</v>
      </c>
    </row>
    <row r="249" spans="1:3" x14ac:dyDescent="0.35">
      <c r="A249">
        <v>219</v>
      </c>
      <c r="B249">
        <v>4.1506420823445422</v>
      </c>
      <c r="C249">
        <v>-1.0606420823445424</v>
      </c>
    </row>
    <row r="250" spans="1:3" x14ac:dyDescent="0.35">
      <c r="A250">
        <v>220</v>
      </c>
      <c r="B250">
        <v>2.2122711273502667</v>
      </c>
      <c r="C250">
        <v>-1.2271127350266475E-2</v>
      </c>
    </row>
    <row r="251" spans="1:3" x14ac:dyDescent="0.35">
      <c r="A251">
        <v>221</v>
      </c>
      <c r="B251">
        <v>2.365306681551838</v>
      </c>
      <c r="C251">
        <v>1.114693318448162</v>
      </c>
    </row>
    <row r="252" spans="1:3" x14ac:dyDescent="0.35">
      <c r="A252">
        <v>222</v>
      </c>
      <c r="B252">
        <v>1.6978167505377124</v>
      </c>
      <c r="C252">
        <v>0.22218324946228751</v>
      </c>
    </row>
    <row r="253" spans="1:3" x14ac:dyDescent="0.35">
      <c r="A253">
        <v>223</v>
      </c>
      <c r="B253">
        <v>2.8653355203273008</v>
      </c>
      <c r="C253">
        <v>0.13466447967269923</v>
      </c>
    </row>
    <row r="254" spans="1:3" x14ac:dyDescent="0.35">
      <c r="A254">
        <v>224</v>
      </c>
      <c r="B254">
        <v>2.331006338848999</v>
      </c>
      <c r="C254">
        <v>-0.75100633884899892</v>
      </c>
    </row>
    <row r="255" spans="1:3" x14ac:dyDescent="0.35">
      <c r="A255">
        <v>225</v>
      </c>
      <c r="B255">
        <v>2.6338744218465906</v>
      </c>
      <c r="C255">
        <v>-0.1338744218465906</v>
      </c>
    </row>
    <row r="256" spans="1:3" x14ac:dyDescent="0.35">
      <c r="A256">
        <v>226</v>
      </c>
      <c r="B256">
        <v>2.0515064797337592</v>
      </c>
      <c r="C256">
        <v>-5.1506479733759214E-2</v>
      </c>
    </row>
    <row r="257" spans="1:3" x14ac:dyDescent="0.35">
      <c r="A257">
        <v>227</v>
      </c>
      <c r="B257">
        <v>3.2849048653395228</v>
      </c>
      <c r="C257">
        <v>-0.28490486533952275</v>
      </c>
    </row>
    <row r="258" spans="1:3" x14ac:dyDescent="0.35">
      <c r="A258">
        <v>228</v>
      </c>
      <c r="B258">
        <v>2.2550537687660119</v>
      </c>
      <c r="C258">
        <v>0.46494623123398826</v>
      </c>
    </row>
    <row r="259" spans="1:3" x14ac:dyDescent="0.35">
      <c r="A259">
        <v>229</v>
      </c>
      <c r="B259">
        <v>3.0406918351568075</v>
      </c>
      <c r="C259">
        <v>-0.16069183515680763</v>
      </c>
    </row>
    <row r="260" spans="1:3" x14ac:dyDescent="0.35">
      <c r="A260">
        <v>230</v>
      </c>
      <c r="B260">
        <v>3.5386855122708845</v>
      </c>
      <c r="C260">
        <v>-1.5386855122708845</v>
      </c>
    </row>
    <row r="261" spans="1:3" x14ac:dyDescent="0.35">
      <c r="A261">
        <v>231</v>
      </c>
      <c r="B261">
        <v>2.5775605779154787</v>
      </c>
      <c r="C261">
        <v>0.42243942208452134</v>
      </c>
    </row>
    <row r="262" spans="1:3" x14ac:dyDescent="0.35">
      <c r="A262">
        <v>232</v>
      </c>
      <c r="B262">
        <v>2.0976824963827712</v>
      </c>
      <c r="C262">
        <v>1.292317503617229</v>
      </c>
    </row>
    <row r="263" spans="1:3" x14ac:dyDescent="0.35">
      <c r="A263">
        <v>233</v>
      </c>
      <c r="B263">
        <v>2.0185256887169496</v>
      </c>
      <c r="C263">
        <v>-0.54852568871694962</v>
      </c>
    </row>
    <row r="264" spans="1:3" x14ac:dyDescent="0.35">
      <c r="A264">
        <v>234</v>
      </c>
      <c r="B264">
        <v>2.3853874894566278</v>
      </c>
      <c r="C264">
        <v>0.61461251054337218</v>
      </c>
    </row>
    <row r="265" spans="1:3" x14ac:dyDescent="0.35">
      <c r="A265">
        <v>235</v>
      </c>
      <c r="B265">
        <v>1.9525616823287641</v>
      </c>
      <c r="C265">
        <v>-0.70256168232876415</v>
      </c>
    </row>
    <row r="266" spans="1:3" x14ac:dyDescent="0.35">
      <c r="A266">
        <v>236</v>
      </c>
      <c r="B266">
        <v>2.1092810055746543</v>
      </c>
      <c r="C266">
        <v>-1.1092810055746543</v>
      </c>
    </row>
    <row r="267" spans="1:3" x14ac:dyDescent="0.35">
      <c r="A267">
        <v>237</v>
      </c>
      <c r="B267">
        <v>4.0156407901931956</v>
      </c>
      <c r="C267">
        <v>-2.8456407901931957</v>
      </c>
    </row>
    <row r="268" spans="1:3" x14ac:dyDescent="0.35">
      <c r="A268">
        <v>238</v>
      </c>
      <c r="B268">
        <v>4.5914330614012142</v>
      </c>
      <c r="C268">
        <v>7.8566938598785718E-2</v>
      </c>
    </row>
    <row r="269" spans="1:3" x14ac:dyDescent="0.35">
      <c r="A269">
        <v>239</v>
      </c>
      <c r="B269">
        <v>3.91633951378458</v>
      </c>
      <c r="C269">
        <v>2.0036604862154199</v>
      </c>
    </row>
    <row r="270" spans="1:3" x14ac:dyDescent="0.35">
      <c r="A270">
        <v>240</v>
      </c>
      <c r="B270">
        <v>3.5175173670485433</v>
      </c>
      <c r="C270">
        <v>-1.5175173670485433</v>
      </c>
    </row>
    <row r="271" spans="1:3" x14ac:dyDescent="0.35">
      <c r="A271">
        <v>241</v>
      </c>
      <c r="B271">
        <v>3.0582203546161137</v>
      </c>
      <c r="C271">
        <v>-1.0582203546161137</v>
      </c>
    </row>
    <row r="272" spans="1:3" x14ac:dyDescent="0.35">
      <c r="A272">
        <v>242</v>
      </c>
      <c r="B272">
        <v>2.6828774673408109</v>
      </c>
      <c r="C272">
        <v>-0.9328774673408109</v>
      </c>
    </row>
    <row r="273" spans="1:3" ht="15" thickBot="1" x14ac:dyDescent="0.4">
      <c r="A273" s="2">
        <v>243</v>
      </c>
      <c r="B273" s="2">
        <v>2.8372707111824234</v>
      </c>
      <c r="C273" s="2">
        <v>0.16272928881757664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Cleaned data</vt:lpstr>
      <vt:lpstr>Encoded Data</vt:lpstr>
      <vt:lpstr>Regression Results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Balaji Venkateswaran</dc:creator>
  <cp:keywords/>
  <dc:description/>
  <cp:lastModifiedBy>Haswanth Borra</cp:lastModifiedBy>
  <cp:revision/>
  <dcterms:created xsi:type="dcterms:W3CDTF">2021-10-26T16:10:41Z</dcterms:created>
  <dcterms:modified xsi:type="dcterms:W3CDTF">2026-03-17T21:07:52Z</dcterms:modified>
  <cp:category/>
  <cp:contentStatus/>
</cp:coreProperties>
</file>